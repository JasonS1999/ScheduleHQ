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Manager Schedule App\work_schedule_app\"/>
    </mc:Choice>
  </mc:AlternateContent>
  <xr:revisionPtr revIDLastSave="0" documentId="13_ncr:1_{A1DF1BA0-7D36-4A7C-A158-542854D20B44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Manager Schedule" sheetId="1" r:id="rId1"/>
    <sheet name="DM's" sheetId="9" state="hidden" r:id="rId2"/>
    <sheet name="MIT's" sheetId="10" state="hidden" r:id="rId3"/>
    <sheet name="Data" sheetId="5" state="hidden" r:id="rId4"/>
  </sheets>
  <definedNames>
    <definedName name="_xleta.COUNT" hidden="1" xlm="1">#NAME?</definedName>
    <definedName name="_xleta.COUNTIF" hidden="1" xlm="1">#NAME?</definedName>
    <definedName name="Brooke" localSheetId="1">'DM''s'!$H$4:$H$38</definedName>
    <definedName name="Brooke" localSheetId="2">'MIT''s'!#REF!</definedName>
    <definedName name="Brooke">'Manager Schedule'!#REF!</definedName>
    <definedName name="Close" localSheetId="1">ShiftRunner52[Close]</definedName>
    <definedName name="Close" localSheetId="2">ShiftRunner58[Close]</definedName>
    <definedName name="Close">#REF!</definedName>
    <definedName name="Dinner" localSheetId="1">ShiftRunner52[Dinner]</definedName>
    <definedName name="Dinner" localSheetId="2">ShiftRunner58[Dinner]</definedName>
    <definedName name="Dinner">#REF!</definedName>
    <definedName name="Jason" localSheetId="1">'DM''s'!$D$4:$D$38</definedName>
    <definedName name="Jason" localSheetId="2">'MIT''s'!$D$4:$D$38</definedName>
    <definedName name="Jason">'Manager Schedule'!$D$4:$D$38</definedName>
    <definedName name="Lori" localSheetId="1">'DM''s'!$G$4:$G$38</definedName>
    <definedName name="Lori" localSheetId="2">'MIT''s'!#REF!</definedName>
    <definedName name="Lori">'Manager Schedule'!$G$4:$G$38</definedName>
    <definedName name="Lunch" localSheetId="1">ShiftRunner52[Lunch]</definedName>
    <definedName name="Lunch" localSheetId="2">ShiftRunner58[Lunch]</definedName>
    <definedName name="Lunch">#REF!</definedName>
    <definedName name="Open" localSheetId="1">ShiftRunner52[Open]</definedName>
    <definedName name="Open" localSheetId="2">ShiftRunner58[Open]</definedName>
    <definedName name="Open">#REF!</definedName>
    <definedName name="_xlnm.Print_Area" localSheetId="1">'DM''s'!$A$1:$Q$38</definedName>
    <definedName name="_xlnm.Print_Area" localSheetId="0">'Manager Schedule'!$A$1:$T$38</definedName>
    <definedName name="_xlnm.Print_Area" localSheetId="2">'MIT''s'!$A$1:$T$38</definedName>
    <definedName name="Susie" localSheetId="1">'DM''s'!$F$4:$F$38</definedName>
    <definedName name="Susie" localSheetId="2">'MIT''s'!#REF!</definedName>
    <definedName name="Susie">'Manager Schedule'!$F$4:$F$38</definedName>
    <definedName name="Zoey">'Manager Schedule'!$H$4:$H$38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9" i="1" l="1"/>
  <c r="H39" i="1" l="1"/>
  <c r="P39" i="1"/>
  <c r="G39" i="1"/>
  <c r="D4" i="9" a="1"/>
  <c r="D4" i="9" s="1"/>
  <c r="D4" i="10" a="1"/>
  <c r="D4" i="10" s="1"/>
  <c r="G4" i="9" a="1"/>
  <c r="G4" i="9" s="1"/>
  <c r="F4" i="9" a="1"/>
  <c r="F4" i="9" s="1"/>
  <c r="H4" i="9" a="1"/>
  <c r="H4" i="9" s="1"/>
  <c r="F4" i="10" a="1"/>
  <c r="F4" i="10" s="1"/>
  <c r="H4" i="10" a="1"/>
  <c r="H4" i="10" s="1"/>
  <c r="G4" i="10" a="1"/>
  <c r="G4" i="10" s="1"/>
  <c r="M39" i="1"/>
  <c r="R39" i="1" l="1"/>
  <c r="K4" i="10" l="1" a="1"/>
  <c r="K4" i="10" s="1"/>
  <c r="L4" i="10" a="1"/>
  <c r="L4" i="10" s="1"/>
  <c r="M4" i="10" a="1"/>
  <c r="M4" i="10" s="1"/>
  <c r="J4" i="10" a="1"/>
  <c r="J4" i="10" s="1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P5" i="10"/>
  <c r="P6" i="10"/>
  <c r="P7" i="10"/>
  <c r="P8" i="10"/>
  <c r="P9" i="10"/>
  <c r="P10" i="10"/>
  <c r="P11" i="10"/>
  <c r="P12" i="10"/>
  <c r="P13" i="10"/>
  <c r="P14" i="10"/>
  <c r="P15" i="10"/>
  <c r="P16" i="10"/>
  <c r="P17" i="10"/>
  <c r="P18" i="10"/>
  <c r="P19" i="10"/>
  <c r="P20" i="10"/>
  <c r="P21" i="10"/>
  <c r="P22" i="10"/>
  <c r="P23" i="10"/>
  <c r="P24" i="10"/>
  <c r="P25" i="10"/>
  <c r="P26" i="10"/>
  <c r="P27" i="10"/>
  <c r="P28" i="10"/>
  <c r="P29" i="10"/>
  <c r="P30" i="10"/>
  <c r="P31" i="10"/>
  <c r="P32" i="10"/>
  <c r="P33" i="10"/>
  <c r="P34" i="10"/>
  <c r="P35" i="10"/>
  <c r="P36" i="10"/>
  <c r="P37" i="10"/>
  <c r="P38" i="10"/>
  <c r="R4" i="10"/>
  <c r="Q4" i="10"/>
  <c r="P4" i="10"/>
  <c r="O4" i="10"/>
  <c r="J40" i="10"/>
  <c r="K40" i="10"/>
  <c r="M40" i="10"/>
  <c r="L40" i="10"/>
  <c r="D39" i="10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4" i="9"/>
  <c r="N4" i="9"/>
  <c r="O4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Q4" i="9" a="1"/>
  <c r="Q4" i="9" s="1"/>
  <c r="D39" i="9"/>
  <c r="K39" i="10" l="1"/>
  <c r="H41" i="9" a="1"/>
  <c r="H41" i="9" s="1"/>
  <c r="J39" i="10"/>
  <c r="L39" i="10"/>
  <c r="M39" i="10"/>
  <c r="J43" i="10"/>
  <c r="J42" i="10" a="1"/>
  <c r="J42" i="10" s="1"/>
  <c r="K42" i="10" a="1"/>
  <c r="K42" i="10" s="1"/>
  <c r="J41" i="10" a="1"/>
  <c r="J41" i="10" s="1"/>
  <c r="J44" i="10" a="1"/>
  <c r="J44" i="10" s="1"/>
  <c r="K41" i="10" a="1"/>
  <c r="K41" i="10" s="1"/>
  <c r="D44" i="10" a="1"/>
  <c r="D44" i="10" s="1"/>
  <c r="K43" i="10"/>
  <c r="K44" i="10" a="1"/>
  <c r="K44" i="10" s="1"/>
  <c r="D42" i="10" a="1"/>
  <c r="D42" i="10" s="1"/>
  <c r="Q39" i="10"/>
  <c r="R39" i="10"/>
  <c r="P39" i="10"/>
  <c r="D43" i="10"/>
  <c r="M44" i="10" a="1"/>
  <c r="M44" i="10" s="1"/>
  <c r="L44" i="10" a="1"/>
  <c r="L44" i="10" s="1"/>
  <c r="O39" i="10"/>
  <c r="D41" i="10" a="1"/>
  <c r="D41" i="10" s="1"/>
  <c r="M41" i="10" a="1"/>
  <c r="M41" i="10" s="1"/>
  <c r="M42" i="10" a="1"/>
  <c r="M42" i="10" s="1"/>
  <c r="L41" i="10" a="1"/>
  <c r="L41" i="10" s="1"/>
  <c r="L42" i="10" a="1"/>
  <c r="L42" i="10" s="1"/>
  <c r="L43" i="10"/>
  <c r="M43" i="10"/>
  <c r="J8" i="9" a="1"/>
  <c r="J6" i="9" a="1"/>
  <c r="J9" i="9" a="1"/>
  <c r="J10" i="9" a="1"/>
  <c r="J23" i="9" a="1"/>
  <c r="J25" i="9" a="1"/>
  <c r="J26" i="9" a="1"/>
  <c r="J28" i="9" a="1"/>
  <c r="J29" i="9" a="1"/>
  <c r="J31" i="9" a="1"/>
  <c r="J27" i="9" a="1"/>
  <c r="J11" i="9" a="1"/>
  <c r="J12" i="9" a="1"/>
  <c r="J13" i="9" a="1"/>
  <c r="J30" i="9" a="1"/>
  <c r="J14" i="9" a="1"/>
  <c r="J15" i="9" a="1"/>
  <c r="J32" i="9" a="1"/>
  <c r="J35" i="9" a="1"/>
  <c r="J16" i="9" a="1"/>
  <c r="J33" i="9" a="1"/>
  <c r="J17" i="9" a="1"/>
  <c r="J34" i="9" a="1"/>
  <c r="J18" i="9" a="1"/>
  <c r="J19" i="9" a="1"/>
  <c r="J36" i="9" a="1"/>
  <c r="J20" i="9" a="1"/>
  <c r="J37" i="9" a="1"/>
  <c r="J5" i="9" a="1"/>
  <c r="J21" i="9" a="1"/>
  <c r="J7" i="9" a="1"/>
  <c r="J24" i="9" a="1"/>
  <c r="J22" i="9" a="1"/>
  <c r="J38" i="9" a="1"/>
  <c r="F44" i="9" a="1"/>
  <c r="F44" i="9" s="1"/>
  <c r="N39" i="9"/>
  <c r="M39" i="9"/>
  <c r="L39" i="9"/>
  <c r="O39" i="9"/>
  <c r="J4" i="9" a="1"/>
  <c r="J4" i="9" s="1"/>
  <c r="H42" i="9" a="1"/>
  <c r="H42" i="9" s="1"/>
  <c r="G41" i="9" a="1"/>
  <c r="G41" i="9" s="1"/>
  <c r="D41" i="9" a="1"/>
  <c r="D41" i="9" s="1"/>
  <c r="G44" i="9" a="1"/>
  <c r="G44" i="9" s="1"/>
  <c r="H43" i="9"/>
  <c r="E44" i="9" a="1"/>
  <c r="E44" i="9" s="1"/>
  <c r="I42" i="9" a="1"/>
  <c r="I42" i="9" s="1"/>
  <c r="G43" i="9"/>
  <c r="E42" i="9" a="1"/>
  <c r="E42" i="9" s="1"/>
  <c r="D43" i="9"/>
  <c r="I44" i="9" a="1"/>
  <c r="I44" i="9" s="1"/>
  <c r="F43" i="9"/>
  <c r="E41" i="9" a="1"/>
  <c r="E41" i="9" s="1"/>
  <c r="F41" i="9" a="1"/>
  <c r="F41" i="9" s="1"/>
  <c r="I41" i="9" a="1"/>
  <c r="I41" i="9" s="1"/>
  <c r="D42" i="9" a="1"/>
  <c r="D42" i="9" s="1"/>
  <c r="H44" i="9" a="1"/>
  <c r="H44" i="9" s="1"/>
  <c r="F42" i="9" a="1"/>
  <c r="F42" i="9" s="1"/>
  <c r="G42" i="9" a="1"/>
  <c r="G42" i="9" s="1"/>
  <c r="I43" i="9"/>
  <c r="D44" i="9" a="1"/>
  <c r="D44" i="9" s="1"/>
  <c r="E43" i="9"/>
  <c r="K45" i="10" l="1"/>
  <c r="J45" i="10"/>
  <c r="D45" i="10"/>
  <c r="L45" i="10"/>
  <c r="M45" i="10"/>
  <c r="E45" i="9"/>
  <c r="I45" i="9"/>
  <c r="H45" i="9"/>
  <c r="G45" i="9"/>
  <c r="D45" i="9"/>
  <c r="F45" i="9"/>
  <c r="D39" i="1" l="1"/>
  <c r="F39" i="1"/>
  <c r="J39" i="1"/>
  <c r="K39" i="1"/>
  <c r="D2" i="5"/>
  <c r="D1" i="5"/>
  <c r="C4" i="5" l="1"/>
  <c r="D4" i="5" l="1"/>
  <c r="B11" i="10" l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28" i="10" s="1"/>
  <c r="B29" i="10" s="1"/>
  <c r="B30" i="10" s="1"/>
  <c r="B31" i="10" s="1"/>
  <c r="B32" i="10" s="1"/>
  <c r="B33" i="10" s="1"/>
  <c r="B34" i="10" s="1"/>
  <c r="B35" i="10" s="1"/>
  <c r="B36" i="10" s="1"/>
  <c r="B37" i="10" s="1"/>
  <c r="B38" i="10" s="1"/>
  <c r="B5" i="10"/>
  <c r="B6" i="10" s="1"/>
  <c r="B11" i="9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5" i="9"/>
  <c r="B6" i="9" s="1"/>
  <c r="B12" i="1" l="1"/>
  <c r="B13" i="1" l="1"/>
  <c r="B14" i="1" l="1"/>
  <c r="B15" i="1" l="1"/>
  <c r="B16" i="1" l="1"/>
  <c r="B17" i="1" l="1"/>
  <c r="B18" i="1" l="1"/>
  <c r="B19" i="1" l="1"/>
  <c r="B20" i="1" l="1"/>
  <c r="B21" i="1" l="1"/>
  <c r="B22" i="1" l="1"/>
  <c r="B23" i="1" l="1"/>
  <c r="B24" i="1" l="1"/>
  <c r="B25" i="1" l="1"/>
  <c r="B26" i="1" l="1"/>
  <c r="B27" i="1" l="1"/>
  <c r="B28" i="1" l="1"/>
  <c r="B29" i="1" l="1"/>
  <c r="B30" i="1" l="1"/>
  <c r="B31" i="1" l="1"/>
  <c r="B32" i="1" l="1"/>
  <c r="B33" i="1" l="1"/>
  <c r="B34" i="1" l="1"/>
  <c r="B35" i="1" l="1"/>
  <c r="B36" i="1" l="1"/>
  <c r="B37" i="1" l="1"/>
  <c r="B38" i="1" l="1"/>
  <c r="J29" i="9"/>
  <c r="J17" i="9" s="1"/>
  <c r="J5" i="9" s="1"/>
  <c r="J23" i="9" l="1"/>
  <c r="J35" i="9"/>
  <c r="F39" i="9"/>
  <c r="J8" i="9"/>
  <c r="J32" i="9"/>
  <c r="J20" i="9"/>
  <c r="J12" i="9"/>
  <c r="J24" i="9"/>
  <c r="J36" i="9"/>
  <c r="J15" i="9"/>
  <c r="J27" i="9"/>
  <c r="J16" i="9"/>
  <c r="J28" i="9"/>
  <c r="J6" i="9"/>
  <c r="J18" i="9"/>
  <c r="J30" i="9"/>
  <c r="J7" i="9"/>
  <c r="J19" i="9"/>
  <c r="J31" i="9"/>
  <c r="J9" i="9"/>
  <c r="J21" i="9"/>
  <c r="J33" i="9"/>
  <c r="J10" i="9"/>
  <c r="J22" i="9"/>
  <c r="J34" i="9"/>
  <c r="G39" i="9"/>
  <c r="J13" i="9"/>
  <c r="J25" i="9"/>
  <c r="J37" i="9"/>
  <c r="J14" i="9"/>
  <c r="J26" i="9"/>
  <c r="J38" i="9"/>
  <c r="H39" i="9"/>
  <c r="J11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<sst xmlns="http://schemas.openxmlformats.org/spreadsheetml/2006/main" count="664" uniqueCount="105">
  <si>
    <t>Reminders</t>
  </si>
  <si>
    <t>SUN</t>
  </si>
  <si>
    <t>MON</t>
  </si>
  <si>
    <t>TD/TO</t>
  </si>
  <si>
    <t>TUE</t>
  </si>
  <si>
    <t>WED</t>
  </si>
  <si>
    <t>THUR</t>
  </si>
  <si>
    <t>TD</t>
  </si>
  <si>
    <t>FRI</t>
  </si>
  <si>
    <t>TO</t>
  </si>
  <si>
    <t>SAT</t>
  </si>
  <si>
    <t>Shift Runner</t>
  </si>
  <si>
    <t>Lunch</t>
  </si>
  <si>
    <t>Open</t>
  </si>
  <si>
    <t>Close</t>
  </si>
  <si>
    <t>Mgr Count</t>
  </si>
  <si>
    <t>Shift Leaders</t>
  </si>
  <si>
    <t>11-7</t>
  </si>
  <si>
    <t xml:space="preserve"> </t>
  </si>
  <si>
    <t>hello</t>
  </si>
  <si>
    <t>DMs</t>
  </si>
  <si>
    <t>Dinner</t>
  </si>
  <si>
    <t>Op-11</t>
  </si>
  <si>
    <t>-</t>
  </si>
  <si>
    <t>c</t>
  </si>
  <si>
    <t>VAC</t>
  </si>
  <si>
    <t>5-CL</t>
  </si>
  <si>
    <t>OFF</t>
  </si>
  <si>
    <t>GM</t>
  </si>
  <si>
    <t>Jason</t>
  </si>
  <si>
    <t>Lori</t>
  </si>
  <si>
    <t>Brooke</t>
  </si>
  <si>
    <t>Cassandra</t>
  </si>
  <si>
    <t>Waylon</t>
  </si>
  <si>
    <t>Zoey</t>
  </si>
  <si>
    <t>Dani</t>
  </si>
  <si>
    <t>Sarah</t>
  </si>
  <si>
    <t>Total</t>
  </si>
  <si>
    <t>ETO</t>
  </si>
  <si>
    <t>PTO</t>
  </si>
  <si>
    <t>CLOSED</t>
  </si>
  <si>
    <t>Days to be bolded</t>
  </si>
  <si>
    <t>SCH</t>
  </si>
  <si>
    <t>INV</t>
  </si>
  <si>
    <t>MM</t>
  </si>
  <si>
    <t>Susie</t>
  </si>
  <si>
    <t>Month</t>
  </si>
  <si>
    <t>Year</t>
  </si>
  <si>
    <t>Off Days</t>
  </si>
  <si>
    <t>MITs</t>
  </si>
  <si>
    <t>James</t>
  </si>
  <si>
    <t>Savanna</t>
  </si>
  <si>
    <t xml:space="preserve">                                                                                                                                                                        </t>
  </si>
  <si>
    <t xml:space="preserve">Manager Schedule | Brainerd East | February 2025 </t>
  </si>
  <si>
    <t>Bella</t>
  </si>
  <si>
    <t>2-10</t>
  </si>
  <si>
    <t>Notes</t>
  </si>
  <si>
    <t>Jason opening with Bella</t>
  </si>
  <si>
    <t>Op-12</t>
  </si>
  <si>
    <t>1-9</t>
  </si>
  <si>
    <t>PEL</t>
  </si>
  <si>
    <t>8-4</t>
  </si>
  <si>
    <t>Op-1</t>
  </si>
  <si>
    <t>Jazzy</t>
  </si>
  <si>
    <t>Jacob</t>
  </si>
  <si>
    <t>6-CL</t>
  </si>
  <si>
    <t>10-7</t>
  </si>
  <si>
    <t>7-4</t>
  </si>
  <si>
    <t>4-CL</t>
  </si>
  <si>
    <t>11-8</t>
  </si>
  <si>
    <t>7-4 SCH</t>
  </si>
  <si>
    <t>8-5</t>
  </si>
  <si>
    <t>10-7 Admin</t>
  </si>
  <si>
    <t>7 Day Sales</t>
  </si>
  <si>
    <t>4-CL TO</t>
  </si>
  <si>
    <t>MITS</t>
  </si>
  <si>
    <t>7-2 R</t>
  </si>
  <si>
    <t>CLOSE EARLY @ 8 pm</t>
  </si>
  <si>
    <t>OPEN LATE @8am / EOM / 7 Day Sales</t>
  </si>
  <si>
    <t>12-CL</t>
  </si>
  <si>
    <t>1-CL</t>
  </si>
  <si>
    <t>11-8 TO</t>
  </si>
  <si>
    <t>Op-4 EOM</t>
  </si>
  <si>
    <t>Manager Schedule | Brainerd East | January 2026</t>
  </si>
  <si>
    <t>Joe</t>
  </si>
  <si>
    <t>Patch Outing @6</t>
  </si>
  <si>
    <t>2-11</t>
  </si>
  <si>
    <t>9-6 TO</t>
  </si>
  <si>
    <t>Op-11 R</t>
  </si>
  <si>
    <t>Christmas Party w/ West 2-7pm</t>
  </si>
  <si>
    <t>8-3 TO</t>
  </si>
  <si>
    <t>12-8</t>
  </si>
  <si>
    <t>1-10 STAT</t>
  </si>
  <si>
    <t>12-9</t>
  </si>
  <si>
    <t>9-5</t>
  </si>
  <si>
    <t>7-3</t>
  </si>
  <si>
    <t>Manager Meeting @ 2pm</t>
  </si>
  <si>
    <t>Mgr Mgt @2pm</t>
  </si>
  <si>
    <t>RDM</t>
  </si>
  <si>
    <t>9-6</t>
  </si>
  <si>
    <t>RDM DAY</t>
  </si>
  <si>
    <t>Overnight install</t>
  </si>
  <si>
    <t>12-6</t>
  </si>
  <si>
    <t>11-6</t>
  </si>
  <si>
    <t>8-CL DMB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</si>
</sst>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mm"/>
  </numFmts>
  <fonts count="39" x14ac:knownFonts="1">
    <font>
      <sz val="10"/>
      <color rgb="FF000000"/>
      <name val="Calibri"/>
      <scheme val="minor"/>
    </font>
    <font>
      <sz val="8"/>
      <color theme="1"/>
      <name val="Arial"/>
      <family val="2"/>
    </font>
    <font>
      <sz val="12"/>
      <color theme="1"/>
      <name val="Calibri"/>
      <family val="2"/>
    </font>
    <font>
      <b/>
      <i/>
      <sz val="12"/>
      <color theme="1"/>
      <name val="Arial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0"/>
      <color rgb="FF000000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Calibri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sz val="9"/>
      <name val="Arial"/>
      <family val="2"/>
    </font>
    <font>
      <b/>
      <sz val="10"/>
      <name val="Arial Narrow"/>
      <family val="2"/>
    </font>
    <font>
      <b/>
      <i/>
      <sz val="14"/>
      <color theme="1"/>
      <name val="Arial"/>
      <family val="2"/>
    </font>
    <font>
      <b/>
      <i/>
      <sz val="14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i/>
      <sz val="11"/>
      <name val="Arial"/>
      <family val="2"/>
    </font>
    <font>
      <sz val="14"/>
      <color rgb="FF000000"/>
      <name val="Calibri"/>
      <family val="2"/>
      <scheme val="minor"/>
    </font>
    <font>
      <b/>
      <u/>
      <sz val="16"/>
      <color theme="1"/>
      <name val="Arial"/>
      <family val="2"/>
    </font>
    <font>
      <sz val="8"/>
      <color theme="0"/>
      <name val="Calibri"/>
      <family val="2"/>
    </font>
    <font>
      <b/>
      <sz val="10"/>
      <color rgb="FF000000"/>
      <name val="Arial"/>
      <family val="2"/>
    </font>
    <font>
      <b/>
      <sz val="9"/>
      <name val="Arial"/>
      <family val="2"/>
    </font>
    <font>
      <b/>
      <sz val="12"/>
      <color theme="0"/>
      <name val="Calibri"/>
      <family val="2"/>
    </font>
    <font>
      <b/>
      <sz val="8"/>
      <color theme="0"/>
      <name val="Calibri"/>
      <family val="2"/>
    </font>
    <font>
      <b/>
      <i/>
      <sz val="8"/>
      <color theme="1"/>
      <name val="Arial"/>
      <family val="2"/>
    </font>
    <font>
      <sz val="8"/>
      <color rgb="FF0000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1"/>
      <name val="Arial Narrow"/>
      <family val="2"/>
    </font>
    <font>
      <b/>
      <sz val="9"/>
      <color rgb="FF000000"/>
      <name val="Calibri"/>
      <family val="2"/>
      <scheme val="minor"/>
    </font>
    <font>
      <sz val="9"/>
      <color theme="0"/>
      <name val="Arial"/>
      <family val="2"/>
    </font>
    <font>
      <sz val="8"/>
      <color theme="0"/>
      <name val="Arial"/>
      <family val="2"/>
    </font>
    <font>
      <sz val="10"/>
      <color theme="1"/>
      <name val="Calibri"/>
      <family val="2"/>
    </font>
    <font>
      <b/>
      <sz val="10"/>
      <color theme="0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rgb="FF9CC2E5"/>
        <bgColor rgb="FF9CC2E5"/>
      </patternFill>
    </fill>
    <fill>
      <patternFill patternType="solid">
        <fgColor theme="0"/>
        <bgColor theme="0"/>
      </patternFill>
    </fill>
    <fill>
      <patternFill patternType="solid">
        <fgColor rgb="FFD9EAD3"/>
        <bgColor rgb="FFD9EAD3"/>
      </patternFill>
    </fill>
    <fill>
      <patternFill patternType="solid">
        <fgColor rgb="FF969696"/>
        <bgColor rgb="FF969696"/>
      </patternFill>
    </fill>
    <fill>
      <patternFill patternType="solid">
        <fgColor rgb="FFFFC000"/>
        <bgColor rgb="FFFF9900"/>
      </patternFill>
    </fill>
    <fill>
      <patternFill patternType="solid">
        <fgColor rgb="FFB6E4F8"/>
        <bgColor rgb="FFD5A6BD"/>
      </patternFill>
    </fill>
    <fill>
      <patternFill patternType="solid">
        <fgColor rgb="FFB6E4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9CC2E5"/>
      </patternFill>
    </fill>
    <fill>
      <patternFill patternType="solid">
        <fgColor rgb="FFFFFF00"/>
        <bgColor rgb="FFFFD965"/>
      </patternFill>
    </fill>
    <fill>
      <patternFill patternType="solid">
        <fgColor theme="0" tint="-0.34998626667073579"/>
        <bgColor rgb="FF969696"/>
      </patternFill>
    </fill>
    <fill>
      <patternFill patternType="solid">
        <fgColor theme="8" tint="0.79998168889431442"/>
        <bgColor rgb="FFD9EAD3"/>
      </patternFill>
    </fill>
    <fill>
      <patternFill patternType="solid">
        <fgColor rgb="FF3DB54B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rgb="FFFF9900"/>
      </patternFill>
    </fill>
  </fills>
  <borders count="3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9" fillId="0" borderId="0"/>
    <xf numFmtId="0" fontId="4" fillId="0" borderId="0"/>
  </cellStyleXfs>
  <cellXfs count="208">
    <xf numFmtId="0" fontId="0" fillId="0" borderId="0" xfId="0"/>
    <xf numFmtId="49" fontId="1" fillId="0" borderId="0" xfId="0" applyNumberFormat="1" applyFont="1"/>
    <xf numFmtId="49" fontId="1" fillId="0" borderId="0" xfId="0" applyNumberFormat="1" applyFont="1" applyAlignment="1">
      <alignment vertical="center" shrinkToFit="1"/>
    </xf>
    <xf numFmtId="0" fontId="2" fillId="0" borderId="0" xfId="0" applyFont="1"/>
    <xf numFmtId="49" fontId="2" fillId="0" borderId="0" xfId="0" applyNumberFormat="1" applyFont="1"/>
    <xf numFmtId="0" fontId="9" fillId="0" borderId="0" xfId="1"/>
    <xf numFmtId="49" fontId="10" fillId="3" borderId="0" xfId="1" applyNumberFormat="1" applyFont="1" applyFill="1" applyAlignment="1">
      <alignment horizontal="center" vertical="center" shrinkToFit="1"/>
    </xf>
    <xf numFmtId="49" fontId="11" fillId="3" borderId="0" xfId="0" applyNumberFormat="1" applyFont="1" applyFill="1"/>
    <xf numFmtId="0" fontId="9" fillId="0" borderId="0" xfId="0" applyFont="1"/>
    <xf numFmtId="0" fontId="23" fillId="0" borderId="0" xfId="0" applyFont="1" applyAlignment="1">
      <alignment vertical="top" wrapText="1"/>
    </xf>
    <xf numFmtId="1" fontId="8" fillId="0" borderId="0" xfId="0" applyNumberFormat="1" applyFont="1" applyAlignment="1">
      <alignment horizontal="center" vertical="center"/>
    </xf>
    <xf numFmtId="49" fontId="18" fillId="2" borderId="8" xfId="0" applyNumberFormat="1" applyFont="1" applyFill="1" applyBorder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7" fillId="0" borderId="21" xfId="0" applyNumberFormat="1" applyFont="1" applyBorder="1"/>
    <xf numFmtId="1" fontId="7" fillId="0" borderId="16" xfId="0" applyNumberFormat="1" applyFont="1" applyBorder="1" applyAlignment="1">
      <alignment horizontal="center" vertical="center"/>
    </xf>
    <xf numFmtId="49" fontId="7" fillId="0" borderId="22" xfId="0" applyNumberFormat="1" applyFont="1" applyBorder="1"/>
    <xf numFmtId="1" fontId="7" fillId="0" borderId="17" xfId="0" applyNumberFormat="1" applyFont="1" applyBorder="1" applyAlignment="1">
      <alignment horizontal="center" vertical="center"/>
    </xf>
    <xf numFmtId="49" fontId="7" fillId="0" borderId="22" xfId="0" applyNumberFormat="1" applyFont="1" applyBorder="1" applyAlignment="1">
      <alignment horizontal="left" vertical="center"/>
    </xf>
    <xf numFmtId="49" fontId="7" fillId="0" borderId="23" xfId="0" applyNumberFormat="1" applyFont="1" applyBorder="1"/>
    <xf numFmtId="1" fontId="7" fillId="0" borderId="18" xfId="0" applyNumberFormat="1" applyFont="1" applyBorder="1" applyAlignment="1">
      <alignment horizontal="center" vertical="center"/>
    </xf>
    <xf numFmtId="49" fontId="3" fillId="0" borderId="0" xfId="0" applyNumberFormat="1" applyFont="1" applyAlignment="1">
      <alignment vertical="center"/>
    </xf>
    <xf numFmtId="49" fontId="28" fillId="0" borderId="0" xfId="0" applyNumberFormat="1" applyFont="1"/>
    <xf numFmtId="0" fontId="20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 shrinkToFit="1"/>
    </xf>
    <xf numFmtId="49" fontId="29" fillId="0" borderId="0" xfId="0" applyNumberFormat="1" applyFont="1"/>
    <xf numFmtId="49" fontId="25" fillId="0" borderId="0" xfId="0" applyNumberFormat="1" applyFont="1"/>
    <xf numFmtId="49" fontId="3" fillId="0" borderId="0" xfId="0" applyNumberFormat="1" applyFont="1"/>
    <xf numFmtId="49" fontId="9" fillId="0" borderId="0" xfId="0" applyNumberFormat="1" applyFont="1"/>
    <xf numFmtId="49" fontId="5" fillId="2" borderId="8" xfId="0" applyNumberFormat="1" applyFont="1" applyFill="1" applyBorder="1" applyAlignment="1">
      <alignment horizontal="center"/>
    </xf>
    <xf numFmtId="0" fontId="20" fillId="0" borderId="2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49" fontId="30" fillId="0" borderId="12" xfId="0" applyNumberFormat="1" applyFont="1" applyBorder="1" applyAlignment="1">
      <alignment horizontal="center"/>
    </xf>
    <xf numFmtId="49" fontId="30" fillId="0" borderId="10" xfId="0" applyNumberFormat="1" applyFont="1" applyBorder="1" applyAlignment="1">
      <alignment horizontal="center"/>
    </xf>
    <xf numFmtId="0" fontId="31" fillId="0" borderId="11" xfId="0" applyFont="1" applyBorder="1"/>
    <xf numFmtId="49" fontId="5" fillId="2" borderId="25" xfId="0" applyNumberFormat="1" applyFont="1" applyFill="1" applyBorder="1" applyAlignment="1">
      <alignment horizontal="center"/>
    </xf>
    <xf numFmtId="14" fontId="0" fillId="0" borderId="0" xfId="0" applyNumberFormat="1"/>
    <xf numFmtId="1" fontId="0" fillId="0" borderId="0" xfId="0" applyNumberFormat="1"/>
    <xf numFmtId="0" fontId="20" fillId="0" borderId="6" xfId="0" applyFont="1" applyBorder="1" applyAlignment="1">
      <alignment horizontal="center" vertical="center"/>
    </xf>
    <xf numFmtId="0" fontId="20" fillId="0" borderId="9" xfId="0" applyFont="1" applyBorder="1" applyAlignment="1">
      <alignment horizontal="center" vertical="center"/>
    </xf>
    <xf numFmtId="0" fontId="20" fillId="0" borderId="7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20" fillId="0" borderId="12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0" fillId="0" borderId="23" xfId="0" applyFont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20" fillId="0" borderId="11" xfId="0" applyFont="1" applyBorder="1" applyAlignment="1">
      <alignment horizontal="center" vertical="center"/>
    </xf>
    <xf numFmtId="0" fontId="32" fillId="0" borderId="0" xfId="0" applyFont="1"/>
    <xf numFmtId="49" fontId="2" fillId="3" borderId="0" xfId="0" applyNumberFormat="1" applyFont="1" applyFill="1"/>
    <xf numFmtId="49" fontId="5" fillId="6" borderId="6" xfId="0" applyNumberFormat="1" applyFont="1" applyFill="1" applyBorder="1" applyAlignment="1">
      <alignment horizontal="center"/>
    </xf>
    <xf numFmtId="49" fontId="5" fillId="6" borderId="9" xfId="0" applyNumberFormat="1" applyFont="1" applyFill="1" applyBorder="1" applyAlignment="1">
      <alignment horizontal="center"/>
    </xf>
    <xf numFmtId="49" fontId="5" fillId="6" borderId="7" xfId="0" applyNumberFormat="1" applyFont="1" applyFill="1" applyBorder="1" applyAlignment="1">
      <alignment horizontal="center"/>
    </xf>
    <xf numFmtId="49" fontId="17" fillId="7" borderId="6" xfId="0" applyNumberFormat="1" applyFont="1" applyFill="1" applyBorder="1" applyAlignment="1">
      <alignment horizontal="center"/>
    </xf>
    <xf numFmtId="49" fontId="17" fillId="7" borderId="9" xfId="0" applyNumberFormat="1" applyFont="1" applyFill="1" applyBorder="1" applyAlignment="1">
      <alignment horizontal="center"/>
    </xf>
    <xf numFmtId="49" fontId="17" fillId="7" borderId="7" xfId="0" applyNumberFormat="1" applyFont="1" applyFill="1" applyBorder="1" applyAlignment="1">
      <alignment horizontal="center"/>
    </xf>
    <xf numFmtId="49" fontId="13" fillId="4" borderId="6" xfId="1" applyNumberFormat="1" applyFont="1" applyFill="1" applyBorder="1" applyAlignment="1">
      <alignment horizontal="center"/>
    </xf>
    <xf numFmtId="49" fontId="13" fillId="4" borderId="9" xfId="1" applyNumberFormat="1" applyFont="1" applyFill="1" applyBorder="1" applyAlignment="1">
      <alignment horizontal="center"/>
    </xf>
    <xf numFmtId="49" fontId="5" fillId="4" borderId="9" xfId="1" applyNumberFormat="1" applyFont="1" applyFill="1" applyBorder="1" applyAlignment="1">
      <alignment horizontal="center"/>
    </xf>
    <xf numFmtId="49" fontId="13" fillId="4" borderId="7" xfId="1" applyNumberFormat="1" applyFont="1" applyFill="1" applyBorder="1" applyAlignment="1">
      <alignment horizontal="center"/>
    </xf>
    <xf numFmtId="49" fontId="5" fillId="11" borderId="6" xfId="0" applyNumberFormat="1" applyFont="1" applyFill="1" applyBorder="1" applyAlignment="1">
      <alignment horizontal="center"/>
    </xf>
    <xf numFmtId="49" fontId="5" fillId="11" borderId="9" xfId="0" applyNumberFormat="1" applyFont="1" applyFill="1" applyBorder="1" applyAlignment="1">
      <alignment horizontal="center"/>
    </xf>
    <xf numFmtId="49" fontId="5" fillId="11" borderId="7" xfId="0" applyNumberFormat="1" applyFont="1" applyFill="1" applyBorder="1" applyAlignment="1">
      <alignment horizontal="center"/>
    </xf>
    <xf numFmtId="0" fontId="20" fillId="0" borderId="20" xfId="0" applyFont="1" applyBorder="1" applyAlignment="1">
      <alignment horizontal="center" vertical="center"/>
    </xf>
    <xf numFmtId="0" fontId="20" fillId="0" borderId="19" xfId="0" applyFont="1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1" fontId="14" fillId="0" borderId="2" xfId="0" applyNumberFormat="1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1" fontId="14" fillId="0" borderId="3" xfId="0" applyNumberFormat="1" applyFont="1" applyBorder="1" applyAlignment="1">
      <alignment horizontal="center" vertical="center"/>
    </xf>
    <xf numFmtId="0" fontId="16" fillId="3" borderId="21" xfId="1" applyFont="1" applyFill="1" applyBorder="1" applyAlignment="1">
      <alignment horizontal="center" vertical="center"/>
    </xf>
    <xf numFmtId="49" fontId="22" fillId="12" borderId="0" xfId="0" applyNumberFormat="1" applyFont="1" applyFill="1" applyAlignment="1">
      <alignment horizontal="center"/>
    </xf>
    <xf numFmtId="0" fontId="16" fillId="3" borderId="22" xfId="1" applyFont="1" applyFill="1" applyBorder="1" applyAlignment="1">
      <alignment horizontal="center" vertical="center"/>
    </xf>
    <xf numFmtId="0" fontId="16" fillId="3" borderId="23" xfId="1" applyFont="1" applyFill="1" applyBorder="1" applyAlignment="1">
      <alignment horizontal="center" vertical="center"/>
    </xf>
    <xf numFmtId="0" fontId="16" fillId="3" borderId="16" xfId="1" applyFont="1" applyFill="1" applyBorder="1" applyAlignment="1">
      <alignment horizontal="center" vertical="center"/>
    </xf>
    <xf numFmtId="0" fontId="16" fillId="3" borderId="12" xfId="1" applyFont="1" applyFill="1" applyBorder="1" applyAlignment="1">
      <alignment horizontal="center" vertical="center"/>
    </xf>
    <xf numFmtId="0" fontId="16" fillId="3" borderId="17" xfId="1" applyFont="1" applyFill="1" applyBorder="1" applyAlignment="1">
      <alignment horizontal="center" vertical="center"/>
    </xf>
    <xf numFmtId="0" fontId="16" fillId="3" borderId="10" xfId="1" applyFont="1" applyFill="1" applyBorder="1" applyAlignment="1">
      <alignment horizontal="center" vertical="center"/>
    </xf>
    <xf numFmtId="0" fontId="16" fillId="3" borderId="18" xfId="1" applyFont="1" applyFill="1" applyBorder="1" applyAlignment="1">
      <alignment horizontal="center" vertical="center"/>
    </xf>
    <xf numFmtId="0" fontId="16" fillId="3" borderId="11" xfId="1" applyFont="1" applyFill="1" applyBorder="1" applyAlignment="1">
      <alignment horizontal="center" vertical="center"/>
    </xf>
    <xf numFmtId="49" fontId="27" fillId="0" borderId="17" xfId="0" applyNumberFormat="1" applyFont="1" applyBorder="1" applyAlignment="1">
      <alignment horizontal="center" vertical="center"/>
    </xf>
    <xf numFmtId="49" fontId="16" fillId="0" borderId="17" xfId="0" applyNumberFormat="1" applyFont="1" applyBorder="1" applyAlignment="1">
      <alignment horizontal="center" vertical="center"/>
    </xf>
    <xf numFmtId="49" fontId="27" fillId="0" borderId="16" xfId="0" applyNumberFormat="1" applyFont="1" applyBorder="1" applyAlignment="1">
      <alignment horizontal="center" vertical="center"/>
    </xf>
    <xf numFmtId="49" fontId="16" fillId="0" borderId="18" xfId="0" applyNumberFormat="1" applyFont="1" applyBorder="1" applyAlignment="1">
      <alignment horizontal="center" vertical="center"/>
    </xf>
    <xf numFmtId="49" fontId="16" fillId="0" borderId="16" xfId="0" applyNumberFormat="1" applyFont="1" applyBorder="1" applyAlignment="1">
      <alignment horizontal="center" vertical="center"/>
    </xf>
    <xf numFmtId="49" fontId="16" fillId="0" borderId="22" xfId="0" applyNumberFormat="1" applyFont="1" applyBorder="1" applyAlignment="1" applyProtection="1">
      <alignment horizontal="center" vertical="center"/>
      <protection locked="0"/>
    </xf>
    <xf numFmtId="49" fontId="16" fillId="0" borderId="10" xfId="0" applyNumberFormat="1" applyFont="1" applyBorder="1" applyAlignment="1" applyProtection="1">
      <alignment horizontal="center" vertical="center"/>
      <protection locked="0"/>
    </xf>
    <xf numFmtId="49" fontId="16" fillId="0" borderId="17" xfId="0" applyNumberFormat="1" applyFont="1" applyBorder="1" applyAlignment="1" applyProtection="1">
      <alignment horizontal="center" vertical="center"/>
      <protection locked="0"/>
    </xf>
    <xf numFmtId="49" fontId="16" fillId="0" borderId="23" xfId="0" applyNumberFormat="1" applyFont="1" applyBorder="1" applyAlignment="1" applyProtection="1">
      <alignment horizontal="center" vertical="center"/>
      <protection locked="0"/>
    </xf>
    <xf numFmtId="49" fontId="16" fillId="0" borderId="18" xfId="0" applyNumberFormat="1" applyFont="1" applyBorder="1" applyAlignment="1" applyProtection="1">
      <alignment horizontal="center" vertical="center"/>
      <protection locked="0"/>
    </xf>
    <xf numFmtId="49" fontId="16" fillId="0" borderId="11" xfId="0" applyNumberFormat="1" applyFont="1" applyBorder="1" applyAlignment="1" applyProtection="1">
      <alignment horizontal="center" vertical="center"/>
      <protection locked="0"/>
    </xf>
    <xf numFmtId="49" fontId="16" fillId="0" borderId="2" xfId="0" applyNumberFormat="1" applyFont="1" applyBorder="1" applyAlignment="1" applyProtection="1">
      <alignment horizontal="center" vertical="center"/>
      <protection locked="0"/>
    </xf>
    <xf numFmtId="49" fontId="16" fillId="0" borderId="1" xfId="0" applyNumberFormat="1" applyFont="1" applyBorder="1" applyAlignment="1" applyProtection="1">
      <alignment horizontal="center" vertical="center"/>
      <protection locked="0"/>
    </xf>
    <xf numFmtId="49" fontId="27" fillId="0" borderId="3" xfId="0" applyNumberFormat="1" applyFont="1" applyBorder="1" applyAlignment="1" applyProtection="1">
      <alignment horizontal="center" vertical="center"/>
      <protection locked="0"/>
    </xf>
    <xf numFmtId="49" fontId="16" fillId="0" borderId="3" xfId="0" applyNumberFormat="1" applyFont="1" applyBorder="1" applyAlignment="1" applyProtection="1">
      <alignment horizontal="center" vertical="center"/>
      <protection locked="0"/>
    </xf>
    <xf numFmtId="49" fontId="16" fillId="0" borderId="16" xfId="0" applyNumberFormat="1" applyFont="1" applyBorder="1" applyAlignment="1" applyProtection="1">
      <alignment horizontal="center" vertical="center"/>
      <protection locked="0"/>
    </xf>
    <xf numFmtId="49" fontId="16" fillId="0" borderId="19" xfId="0" applyNumberFormat="1" applyFont="1" applyBorder="1" applyAlignment="1" applyProtection="1">
      <alignment horizontal="center" vertical="center"/>
      <protection locked="0"/>
    </xf>
    <xf numFmtId="49" fontId="16" fillId="0" borderId="21" xfId="0" applyNumberFormat="1" applyFont="1" applyBorder="1" applyAlignment="1" applyProtection="1">
      <alignment horizontal="center" vertical="center"/>
      <protection locked="0"/>
    </xf>
    <xf numFmtId="49" fontId="16" fillId="0" borderId="12" xfId="0" applyNumberFormat="1" applyFont="1" applyBorder="1" applyAlignment="1" applyProtection="1">
      <alignment horizontal="center" vertical="center"/>
      <protection locked="0"/>
    </xf>
    <xf numFmtId="49" fontId="16" fillId="0" borderId="20" xfId="0" applyNumberFormat="1" applyFont="1" applyBorder="1" applyAlignment="1" applyProtection="1">
      <alignment horizontal="center" vertical="center"/>
      <protection locked="0"/>
    </xf>
    <xf numFmtId="49" fontId="16" fillId="0" borderId="13" xfId="0" applyNumberFormat="1" applyFont="1" applyBorder="1" applyAlignment="1" applyProtection="1">
      <alignment horizontal="center" vertical="center"/>
      <protection locked="0"/>
    </xf>
    <xf numFmtId="49" fontId="27" fillId="0" borderId="10" xfId="0" applyNumberFormat="1" applyFont="1" applyBorder="1" applyAlignment="1" applyProtection="1">
      <alignment horizontal="center" vertical="center"/>
      <protection locked="0"/>
    </xf>
    <xf numFmtId="0" fontId="34" fillId="0" borderId="16" xfId="0" applyFont="1" applyBorder="1" applyAlignment="1" applyProtection="1">
      <alignment vertical="center"/>
      <protection locked="0"/>
    </xf>
    <xf numFmtId="0" fontId="34" fillId="0" borderId="17" xfId="0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4" fillId="0" borderId="18" xfId="0" applyFont="1" applyBorder="1" applyAlignment="1" applyProtection="1">
      <alignment vertical="center"/>
      <protection locked="0"/>
    </xf>
    <xf numFmtId="0" fontId="34" fillId="0" borderId="30" xfId="0" applyFont="1" applyBorder="1" applyAlignment="1" applyProtection="1">
      <alignment vertical="center"/>
      <protection locked="0"/>
    </xf>
    <xf numFmtId="0" fontId="16" fillId="3" borderId="21" xfId="1" applyFont="1" applyFill="1" applyBorder="1" applyAlignment="1" applyProtection="1">
      <alignment horizontal="center" vertical="center"/>
      <protection locked="0"/>
    </xf>
    <xf numFmtId="0" fontId="16" fillId="3" borderId="22" xfId="1" applyFont="1" applyFill="1" applyBorder="1" applyAlignment="1" applyProtection="1">
      <alignment horizontal="center" vertical="center"/>
      <protection locked="0"/>
    </xf>
    <xf numFmtId="0" fontId="16" fillId="3" borderId="23" xfId="1" applyFont="1" applyFill="1" applyBorder="1" applyAlignment="1" applyProtection="1">
      <alignment horizontal="center" vertical="center"/>
      <protection locked="0"/>
    </xf>
    <xf numFmtId="49" fontId="13" fillId="4" borderId="29" xfId="1" applyNumberFormat="1" applyFont="1" applyFill="1" applyBorder="1" applyAlignment="1">
      <alignment horizontal="center"/>
    </xf>
    <xf numFmtId="49" fontId="13" fillId="4" borderId="27" xfId="1" applyNumberFormat="1" applyFont="1" applyFill="1" applyBorder="1" applyAlignment="1">
      <alignment horizontal="center"/>
    </xf>
    <xf numFmtId="49" fontId="5" fillId="4" borderId="27" xfId="1" applyNumberFormat="1" applyFont="1" applyFill="1" applyBorder="1" applyAlignment="1">
      <alignment horizontal="center"/>
    </xf>
    <xf numFmtId="49" fontId="13" fillId="4" borderId="28" xfId="1" applyNumberFormat="1" applyFont="1" applyFill="1" applyBorder="1" applyAlignment="1">
      <alignment horizontal="center"/>
    </xf>
    <xf numFmtId="0" fontId="16" fillId="3" borderId="17" xfId="1" applyFont="1" applyFill="1" applyBorder="1" applyAlignment="1" applyProtection="1">
      <alignment horizontal="center" vertical="center"/>
      <protection locked="0"/>
    </xf>
    <xf numFmtId="0" fontId="16" fillId="3" borderId="16" xfId="1" applyFont="1" applyFill="1" applyBorder="1" applyAlignment="1" applyProtection="1">
      <alignment horizontal="center" vertical="center"/>
      <protection locked="0"/>
    </xf>
    <xf numFmtId="0" fontId="16" fillId="3" borderId="12" xfId="1" applyFont="1" applyFill="1" applyBorder="1" applyAlignment="1" applyProtection="1">
      <alignment horizontal="center" vertical="center"/>
      <protection locked="0"/>
    </xf>
    <xf numFmtId="0" fontId="16" fillId="3" borderId="10" xfId="1" applyFont="1" applyFill="1" applyBorder="1" applyAlignment="1" applyProtection="1">
      <alignment horizontal="center" vertical="center"/>
      <protection locked="0"/>
    </xf>
    <xf numFmtId="0" fontId="16" fillId="3" borderId="18" xfId="1" applyFont="1" applyFill="1" applyBorder="1" applyAlignment="1" applyProtection="1">
      <alignment horizontal="center" vertical="center"/>
      <protection locked="0"/>
    </xf>
    <xf numFmtId="0" fontId="16" fillId="3" borderId="11" xfId="1" applyFont="1" applyFill="1" applyBorder="1" applyAlignment="1" applyProtection="1">
      <alignment horizontal="center" vertical="center"/>
      <protection locked="0"/>
    </xf>
    <xf numFmtId="49" fontId="30" fillId="0" borderId="16" xfId="0" applyNumberFormat="1" applyFont="1" applyBorder="1" applyAlignment="1">
      <alignment horizontal="center"/>
    </xf>
    <xf numFmtId="49" fontId="30" fillId="0" borderId="17" xfId="0" applyNumberFormat="1" applyFont="1" applyBorder="1" applyAlignment="1">
      <alignment horizontal="center"/>
    </xf>
    <xf numFmtId="0" fontId="31" fillId="0" borderId="18" xfId="0" applyFont="1" applyBorder="1"/>
    <xf numFmtId="49" fontId="18" fillId="2" borderId="26" xfId="0" applyNumberFormat="1" applyFont="1" applyFill="1" applyBorder="1" applyAlignment="1">
      <alignment horizontal="center" vertical="center"/>
    </xf>
    <xf numFmtId="0" fontId="16" fillId="0" borderId="2" xfId="0" applyFont="1" applyBorder="1" applyAlignment="1" applyProtection="1">
      <alignment horizontal="center" vertical="center"/>
      <protection locked="0"/>
    </xf>
    <xf numFmtId="49" fontId="5" fillId="2" borderId="14" xfId="0" applyNumberFormat="1" applyFont="1" applyFill="1" applyBorder="1" applyAlignment="1">
      <alignment horizontal="center"/>
    </xf>
    <xf numFmtId="49" fontId="22" fillId="12" borderId="26" xfId="0" applyNumberFormat="1" applyFont="1" applyFill="1" applyBorder="1" applyAlignment="1">
      <alignment horizontal="center"/>
    </xf>
    <xf numFmtId="0" fontId="34" fillId="0" borderId="2" xfId="0" applyFont="1" applyBorder="1" applyAlignment="1">
      <alignment vertical="center"/>
    </xf>
    <xf numFmtId="49" fontId="16" fillId="0" borderId="1" xfId="0" applyNumberFormat="1" applyFont="1" applyBorder="1" applyAlignment="1">
      <alignment horizontal="center" vertical="center"/>
    </xf>
    <xf numFmtId="0" fontId="34" fillId="0" borderId="1" xfId="0" applyFont="1" applyBorder="1" applyAlignment="1">
      <alignment vertical="center"/>
    </xf>
    <xf numFmtId="0" fontId="0" fillId="0" borderId="31" xfId="0" applyBorder="1"/>
    <xf numFmtId="49" fontId="27" fillId="0" borderId="3" xfId="0" applyNumberFormat="1" applyFont="1" applyBorder="1" applyAlignment="1">
      <alignment horizontal="center" vertical="center"/>
    </xf>
    <xf numFmtId="0" fontId="34" fillId="0" borderId="3" xfId="0" applyFont="1" applyBorder="1" applyAlignment="1">
      <alignment vertical="center"/>
    </xf>
    <xf numFmtId="49" fontId="16" fillId="0" borderId="2" xfId="0" applyNumberFormat="1" applyFont="1" applyBorder="1" applyAlignment="1">
      <alignment horizontal="center" vertical="center"/>
    </xf>
    <xf numFmtId="49" fontId="27" fillId="0" borderId="21" xfId="0" applyNumberFormat="1" applyFont="1" applyBorder="1" applyAlignment="1">
      <alignment horizontal="center" vertical="center"/>
    </xf>
    <xf numFmtId="49" fontId="16" fillId="0" borderId="12" xfId="0" applyNumberFormat="1" applyFont="1" applyBorder="1" applyAlignment="1">
      <alignment horizontal="center" vertical="center"/>
    </xf>
    <xf numFmtId="49" fontId="27" fillId="0" borderId="22" xfId="0" applyNumberFormat="1" applyFont="1" applyBorder="1" applyAlignment="1">
      <alignment horizontal="center" vertical="center"/>
    </xf>
    <xf numFmtId="49" fontId="16" fillId="0" borderId="10" xfId="0" applyNumberFormat="1" applyFont="1" applyBorder="1" applyAlignment="1">
      <alignment horizontal="center" vertical="center"/>
    </xf>
    <xf numFmtId="49" fontId="16" fillId="0" borderId="22" xfId="0" applyNumberFormat="1" applyFont="1" applyBorder="1" applyAlignment="1">
      <alignment horizontal="center" vertical="center"/>
    </xf>
    <xf numFmtId="49" fontId="27" fillId="0" borderId="10" xfId="0" applyNumberFormat="1" applyFont="1" applyBorder="1" applyAlignment="1">
      <alignment horizontal="center" vertical="center"/>
    </xf>
    <xf numFmtId="49" fontId="16" fillId="0" borderId="3" xfId="0" applyNumberFormat="1" applyFont="1" applyBorder="1" applyAlignment="1">
      <alignment horizontal="center" vertical="center"/>
    </xf>
    <xf numFmtId="49" fontId="16" fillId="0" borderId="23" xfId="0" applyNumberFormat="1" applyFont="1" applyBorder="1" applyAlignment="1">
      <alignment horizontal="center" vertical="center"/>
    </xf>
    <xf numFmtId="49" fontId="16" fillId="0" borderId="11" xfId="0" applyNumberFormat="1" applyFont="1" applyBorder="1" applyAlignment="1">
      <alignment horizontal="center" vertical="center"/>
    </xf>
    <xf numFmtId="49" fontId="16" fillId="0" borderId="19" xfId="0" applyNumberFormat="1" applyFont="1" applyBorder="1" applyAlignment="1">
      <alignment horizontal="center" vertical="center"/>
    </xf>
    <xf numFmtId="49" fontId="27" fillId="0" borderId="13" xfId="0" applyNumberFormat="1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5" fillId="11" borderId="6" xfId="0" applyFont="1" applyFill="1" applyBorder="1" applyAlignment="1">
      <alignment horizontal="center"/>
    </xf>
    <xf numFmtId="0" fontId="16" fillId="0" borderId="20" xfId="0" applyFont="1" applyBorder="1" applyAlignment="1" applyProtection="1">
      <alignment horizontal="center" vertical="center"/>
      <protection locked="0"/>
    </xf>
    <xf numFmtId="49" fontId="16" fillId="0" borderId="21" xfId="0" applyNumberFormat="1" applyFont="1" applyBorder="1" applyAlignment="1">
      <alignment horizontal="center" vertical="center"/>
    </xf>
    <xf numFmtId="49" fontId="35" fillId="0" borderId="0" xfId="0" applyNumberFormat="1" applyFont="1" applyAlignment="1">
      <alignment horizontal="center" vertical="center"/>
    </xf>
    <xf numFmtId="0" fontId="18" fillId="16" borderId="26" xfId="0" applyFont="1" applyFill="1" applyBorder="1" applyAlignment="1">
      <alignment horizontal="center" vertical="center" shrinkToFit="1"/>
    </xf>
    <xf numFmtId="49" fontId="5" fillId="16" borderId="8" xfId="0" applyNumberFormat="1" applyFont="1" applyFill="1" applyBorder="1" applyAlignment="1">
      <alignment horizontal="center"/>
    </xf>
    <xf numFmtId="49" fontId="36" fillId="0" borderId="0" xfId="0" applyNumberFormat="1" applyFont="1" applyAlignment="1">
      <alignment horizontal="center" vertical="center"/>
    </xf>
    <xf numFmtId="49" fontId="38" fillId="0" borderId="0" xfId="0" applyNumberFormat="1" applyFont="1"/>
    <xf numFmtId="49" fontId="37" fillId="0" borderId="0" xfId="0" applyNumberFormat="1" applyFont="1"/>
    <xf numFmtId="49" fontId="7" fillId="0" borderId="22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32" fillId="0" borderId="0" xfId="0" applyFont="1" applyAlignment="1">
      <alignment horizontal="left"/>
    </xf>
    <xf numFmtId="49" fontId="7" fillId="0" borderId="21" xfId="0" applyNumberFormat="1" applyFont="1" applyBorder="1" applyAlignment="1">
      <alignment horizontal="left"/>
    </xf>
    <xf numFmtId="49" fontId="7" fillId="0" borderId="23" xfId="0" applyNumberFormat="1" applyFont="1" applyBorder="1" applyAlignment="1">
      <alignment horizontal="left"/>
    </xf>
    <xf numFmtId="0" fontId="9" fillId="0" borderId="0" xfId="0" applyFont="1" applyAlignment="1">
      <alignment horizontal="left"/>
    </xf>
    <xf numFmtId="49" fontId="5" fillId="2" borderId="26" xfId="0" applyNumberFormat="1" applyFont="1" applyFill="1" applyBorder="1" applyAlignment="1">
      <alignment horizontal="center"/>
    </xf>
    <xf numFmtId="49" fontId="16" fillId="0" borderId="26" xfId="0" applyNumberFormat="1" applyFont="1" applyBorder="1" applyAlignment="1">
      <alignment horizontal="center" vertical="center"/>
    </xf>
    <xf numFmtId="49" fontId="16" fillId="0" borderId="32" xfId="0" applyNumberFormat="1" applyFont="1" applyBorder="1" applyAlignment="1">
      <alignment horizontal="center" vertical="center"/>
    </xf>
    <xf numFmtId="49" fontId="27" fillId="0" borderId="32" xfId="0" applyNumberFormat="1" applyFont="1" applyBorder="1" applyAlignment="1">
      <alignment horizontal="center" vertical="center"/>
    </xf>
    <xf numFmtId="49" fontId="27" fillId="0" borderId="0" xfId="0" applyNumberFormat="1" applyFont="1" applyAlignment="1">
      <alignment horizontal="center" vertical="center"/>
    </xf>
    <xf numFmtId="49" fontId="16" fillId="0" borderId="22" xfId="0" quotePrefix="1" applyNumberFormat="1" applyFont="1" applyBorder="1" applyAlignment="1" applyProtection="1">
      <alignment horizontal="center" vertical="center"/>
      <protection locked="0"/>
    </xf>
    <xf numFmtId="49" fontId="27" fillId="0" borderId="17" xfId="0" applyNumberFormat="1" applyFont="1" applyBorder="1" applyAlignment="1" applyProtection="1">
      <alignment horizontal="center" vertical="center"/>
      <protection locked="0"/>
    </xf>
    <xf numFmtId="49" fontId="11" fillId="0" borderId="0" xfId="0" applyNumberFormat="1" applyFont="1"/>
    <xf numFmtId="49" fontId="27" fillId="0" borderId="1" xfId="0" applyNumberFormat="1" applyFont="1" applyBorder="1" applyAlignment="1" applyProtection="1">
      <alignment horizontal="center" vertical="center"/>
      <protection locked="0"/>
    </xf>
    <xf numFmtId="49" fontId="27" fillId="0" borderId="26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8" fillId="6" borderId="6" xfId="0" applyFont="1" applyFill="1" applyBorder="1" applyAlignment="1">
      <alignment horizontal="center" vertical="center" shrinkToFit="1"/>
    </xf>
    <xf numFmtId="0" fontId="18" fillId="6" borderId="9" xfId="0" applyFont="1" applyFill="1" applyBorder="1" applyAlignment="1">
      <alignment horizontal="center" vertical="center" shrinkToFit="1"/>
    </xf>
    <xf numFmtId="0" fontId="18" fillId="6" borderId="7" xfId="0" applyFont="1" applyFill="1" applyBorder="1" applyAlignment="1">
      <alignment horizontal="center" vertical="center" shrinkToFit="1"/>
    </xf>
    <xf numFmtId="164" fontId="33" fillId="5" borderId="6" xfId="0" applyNumberFormat="1" applyFont="1" applyFill="1" applyBorder="1" applyAlignment="1">
      <alignment horizontal="center" vertical="center"/>
    </xf>
    <xf numFmtId="164" fontId="33" fillId="5" borderId="9" xfId="0" applyNumberFormat="1" applyFont="1" applyFill="1" applyBorder="1" applyAlignment="1">
      <alignment horizontal="center" vertical="center"/>
    </xf>
    <xf numFmtId="49" fontId="18" fillId="10" borderId="29" xfId="0" applyNumberFormat="1" applyFont="1" applyFill="1" applyBorder="1" applyAlignment="1">
      <alignment horizontal="center" vertical="center"/>
    </xf>
    <xf numFmtId="49" fontId="18" fillId="10" borderId="28" xfId="0" applyNumberFormat="1" applyFont="1" applyFill="1" applyBorder="1" applyAlignment="1">
      <alignment horizontal="center" vertical="center"/>
    </xf>
    <xf numFmtId="0" fontId="19" fillId="7" borderId="29" xfId="0" applyFont="1" applyFill="1" applyBorder="1" applyAlignment="1">
      <alignment horizontal="center" vertical="center" shrinkToFit="1"/>
    </xf>
    <xf numFmtId="0" fontId="19" fillId="7" borderId="27" xfId="0" applyFont="1" applyFill="1" applyBorder="1" applyAlignment="1">
      <alignment horizontal="center" vertical="center" shrinkToFit="1"/>
    </xf>
    <xf numFmtId="0" fontId="19" fillId="7" borderId="28" xfId="0" applyFont="1" applyFill="1" applyBorder="1" applyAlignment="1">
      <alignment horizontal="center" vertical="center" shrinkToFit="1"/>
    </xf>
    <xf numFmtId="0" fontId="26" fillId="0" borderId="6" xfId="0" applyFont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19" fillId="7" borderId="24" xfId="0" applyFont="1" applyFill="1" applyBorder="1" applyAlignment="1">
      <alignment horizontal="center" vertical="center" shrinkToFit="1"/>
    </xf>
    <xf numFmtId="49" fontId="3" fillId="13" borderId="26" xfId="0" applyNumberFormat="1" applyFont="1" applyFill="1" applyBorder="1" applyAlignment="1">
      <alignment horizontal="center" vertical="center" wrapText="1"/>
    </xf>
    <xf numFmtId="49" fontId="3" fillId="13" borderId="14" xfId="0" applyNumberFormat="1" applyFont="1" applyFill="1" applyBorder="1" applyAlignment="1">
      <alignment horizontal="center" vertical="center" wrapText="1"/>
    </xf>
    <xf numFmtId="49" fontId="10" fillId="4" borderId="6" xfId="1" applyNumberFormat="1" applyFont="1" applyFill="1" applyBorder="1" applyAlignment="1">
      <alignment horizontal="center" vertical="center" shrinkToFit="1"/>
    </xf>
    <xf numFmtId="0" fontId="12" fillId="0" borderId="9" xfId="1" applyFont="1" applyBorder="1"/>
    <xf numFmtId="0" fontId="12" fillId="0" borderId="7" xfId="1" applyFont="1" applyBorder="1"/>
    <xf numFmtId="164" fontId="33" fillId="5" borderId="7" xfId="0" applyNumberFormat="1" applyFont="1" applyFill="1" applyBorder="1" applyAlignment="1">
      <alignment horizontal="center" vertical="center"/>
    </xf>
    <xf numFmtId="49" fontId="6" fillId="8" borderId="6" xfId="0" applyNumberFormat="1" applyFont="1" applyFill="1" applyBorder="1" applyAlignment="1">
      <alignment horizontal="center" vertical="center"/>
    </xf>
    <xf numFmtId="49" fontId="6" fillId="8" borderId="9" xfId="0" applyNumberFormat="1" applyFont="1" applyFill="1" applyBorder="1" applyAlignment="1">
      <alignment horizontal="center" vertical="center"/>
    </xf>
    <xf numFmtId="49" fontId="6" fillId="9" borderId="4" xfId="0" applyNumberFormat="1" applyFont="1" applyFill="1" applyBorder="1" applyAlignment="1">
      <alignment horizontal="center" vertical="center"/>
    </xf>
    <xf numFmtId="49" fontId="6" fillId="9" borderId="5" xfId="0" applyNumberFormat="1" applyFont="1" applyFill="1" applyBorder="1" applyAlignment="1">
      <alignment horizontal="center" vertical="center"/>
    </xf>
    <xf numFmtId="49" fontId="6" fillId="9" borderId="15" xfId="0" applyNumberFormat="1" applyFont="1" applyFill="1" applyBorder="1" applyAlignment="1">
      <alignment horizontal="center" vertical="center"/>
    </xf>
    <xf numFmtId="49" fontId="21" fillId="14" borderId="4" xfId="0" applyNumberFormat="1" applyFont="1" applyFill="1" applyBorder="1" applyAlignment="1">
      <alignment horizontal="center" vertical="center"/>
    </xf>
    <xf numFmtId="49" fontId="21" fillId="14" borderId="5" xfId="0" applyNumberFormat="1" applyFont="1" applyFill="1" applyBorder="1" applyAlignment="1">
      <alignment horizontal="center" vertical="center"/>
    </xf>
    <xf numFmtId="49" fontId="21" fillId="14" borderId="15" xfId="0" applyNumberFormat="1" applyFont="1" applyFill="1" applyBorder="1" applyAlignment="1">
      <alignment horizontal="center" vertical="center"/>
    </xf>
    <xf numFmtId="49" fontId="21" fillId="15" borderId="6" xfId="0" applyNumberFormat="1" applyFont="1" applyFill="1" applyBorder="1" applyAlignment="1">
      <alignment horizontal="center" vertical="center"/>
    </xf>
    <xf numFmtId="49" fontId="21" fillId="15" borderId="9" xfId="0" applyNumberFormat="1" applyFont="1" applyFill="1" applyBorder="1" applyAlignment="1">
      <alignment horizontal="center" vertical="center"/>
    </xf>
    <xf numFmtId="49" fontId="10" fillId="4" borderId="9" xfId="1" applyNumberFormat="1" applyFont="1" applyFill="1" applyBorder="1" applyAlignment="1">
      <alignment horizontal="center" vertical="center" shrinkToFit="1"/>
    </xf>
    <xf numFmtId="49" fontId="10" fillId="4" borderId="7" xfId="1" applyNumberFormat="1" applyFont="1" applyFill="1" applyBorder="1" applyAlignment="1">
      <alignment horizontal="center" vertical="center" shrinkToFit="1"/>
    </xf>
    <xf numFmtId="49" fontId="18" fillId="10" borderId="27" xfId="0" applyNumberFormat="1" applyFont="1" applyFill="1" applyBorder="1" applyAlignment="1">
      <alignment horizontal="center" vertical="center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63">
    <dxf>
      <font>
        <color rgb="FFFF0000"/>
      </font>
      <fill>
        <patternFill patternType="solid">
          <fgColor auto="1"/>
          <bgColor rgb="FFFF0000"/>
        </patternFill>
      </fill>
    </dxf>
    <dxf>
      <font>
        <color auto="1"/>
      </font>
      <fill>
        <patternFill>
          <bgColor rgb="FFFFEB9C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fgColor theme="8" tint="0.59996337778862885"/>
          <bgColor theme="8" tint="0.79998168889431442"/>
        </patternFill>
      </fill>
    </dxf>
    <dxf>
      <font>
        <b/>
        <i val="0"/>
        <color auto="1"/>
      </font>
      <fill>
        <patternFill patternType="solid">
          <fgColor auto="1"/>
          <bgColor theme="5" tint="0.59996337778862885"/>
        </patternFill>
      </fill>
    </dxf>
    <dxf>
      <font>
        <b/>
        <i val="0"/>
        <color auto="1"/>
      </font>
      <fill>
        <patternFill patternType="solid">
          <fgColor auto="1"/>
          <bgColor theme="5" tint="0.59996337778862885"/>
        </patternFill>
      </fill>
    </dxf>
    <dxf>
      <font>
        <color rgb="FFFF0000"/>
      </font>
      <fill>
        <patternFill patternType="solid">
          <fgColor auto="1"/>
          <bgColor rgb="FFFF0000"/>
        </patternFill>
      </fill>
    </dxf>
    <dxf>
      <font>
        <color auto="1"/>
      </font>
      <fill>
        <patternFill>
          <bgColor rgb="FFFFEB9C"/>
        </patternFill>
      </fill>
    </dxf>
    <dxf>
      <font>
        <color theme="0"/>
      </font>
    </dxf>
    <dxf>
      <font>
        <b/>
        <i val="0"/>
        <color theme="0"/>
      </font>
      <fill>
        <patternFill>
          <bgColor theme="4" tint="-0.24994659260841701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auto="1"/>
      </font>
      <fill>
        <patternFill>
          <bgColor rgb="FFFFFF00"/>
        </patternFill>
      </fill>
    </dxf>
    <dxf>
      <font>
        <b/>
        <i val="0"/>
        <color auto="1"/>
      </font>
      <fill>
        <patternFill>
          <fgColor theme="8" tint="0.59996337778862885"/>
          <bgColor theme="8" tint="0.79998168889431442"/>
        </patternFill>
      </fill>
    </dxf>
    <dxf>
      <font>
        <b/>
        <i val="0"/>
        <color auto="1"/>
      </font>
      <fill>
        <patternFill patternType="solid">
          <fgColor auto="1"/>
          <bgColor theme="5" tint="0.59996337778862885"/>
        </patternFill>
      </fill>
    </dxf>
    <dxf>
      <font>
        <b/>
        <i val="0"/>
        <color auto="1"/>
      </font>
      <fill>
        <patternFill patternType="solid">
          <fgColor auto="1"/>
          <bgColor theme="5" tint="0.59996337778862885"/>
        </patternFill>
      </fill>
    </dxf>
    <dxf>
      <font>
        <color rgb="FFFF0000"/>
      </font>
      <fill>
        <patternFill patternType="solid">
          <fgColor auto="1"/>
          <bgColor rgb="FFFF0000"/>
        </patternFill>
      </fill>
    </dxf>
    <dxf>
      <font>
        <b/>
        <i val="0"/>
        <color theme="1"/>
      </font>
      <fill>
        <patternFill>
          <bgColor rgb="FF00B0F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CCCC00"/>
        </patternFill>
      </fill>
    </dxf>
    <dxf>
      <font>
        <b/>
        <i val="0"/>
        <color auto="1"/>
      </font>
      <fill>
        <patternFill>
          <fgColor theme="8" tint="0.59996337778862885"/>
          <bgColor theme="8" tint="0.79998168889431442"/>
        </patternFill>
      </fill>
    </dxf>
    <dxf>
      <font>
        <b/>
        <i val="0"/>
        <color auto="1"/>
      </font>
      <fill>
        <patternFill patternType="solid">
          <fgColor auto="1"/>
          <bgColor theme="5" tint="0.59996337778862885"/>
        </patternFill>
      </fill>
    </dxf>
    <dxf>
      <font>
        <b/>
        <i val="0"/>
        <color auto="1"/>
      </font>
      <fill>
        <patternFill patternType="solid">
          <fgColor auto="1"/>
          <bgColor theme="5" tint="0.59996337778862885"/>
        </patternFill>
      </fill>
    </dxf>
    <dxf>
      <font>
        <b/>
        <i val="0"/>
      </font>
    </dxf>
    <dxf>
      <font>
        <b/>
        <i val="0"/>
        <color auto="1"/>
      </font>
      <fill>
        <patternFill patternType="solid">
          <fgColor auto="1"/>
          <bgColor theme="5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protection locked="0" hidden="0"/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30" formatCode="@"/>
      <fill>
        <patternFill patternType="solid">
          <fgColor rgb="FFD9EAD3"/>
          <bgColor rgb="FFD9EAD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medium">
          <color rgb="FF000000"/>
        </left>
        <right style="medium">
          <color rgb="FF000000"/>
        </right>
        <top style="medium">
          <color rgb="FF000000"/>
        </top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none"/>
      </font>
      <alignment horizontal="general" vertical="center" textRotation="0" wrapText="0" indent="0" justifyLastLine="0" shrinkToFit="0" readingOrder="0"/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0" formatCode="@"/>
      <fill>
        <patternFill patternType="solid">
          <fgColor rgb="FF969696"/>
          <bgColor theme="0" tint="-0.34998626667073579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  <protection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hidden="0"/>
    </dxf>
    <dxf>
      <protection hidden="0"/>
    </dxf>
    <dxf>
      <border outline="0">
        <top style="thin">
          <color rgb="FF000000"/>
        </top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auto="1"/>
        <name val="Arial"/>
        <scheme val="none"/>
      </font>
      <numFmt numFmtId="30" formatCode="@"/>
      <protection hidden="0"/>
    </dxf>
    <dxf>
      <border>
        <bottom style="medium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Narrow"/>
        <scheme val="none"/>
      </font>
      <numFmt numFmtId="30" formatCode="@"/>
      <fill>
        <patternFill patternType="solid">
          <fgColor rgb="FFD9EAD3"/>
          <bgColor rgb="FFD9EAD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  <protection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alignment horizontal="general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Calibri"/>
        <scheme val="minor"/>
      </font>
      <alignment horizontal="general" vertical="center" textRotation="0" wrapText="0" indent="0" justifyLastLine="0" shrinkToFit="0" readingOrder="0"/>
      <protection locked="0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0" formatCode="@"/>
      <fill>
        <patternFill patternType="solid">
          <fgColor rgb="FF969696"/>
          <bgColor theme="0" tint="-0.34998626667073579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B6E4F8"/>
      <color rgb="FFCCCC00"/>
      <color rgb="FF3DB54B"/>
      <color rgb="FFD00000"/>
      <color rgb="FFFF9999"/>
      <color rgb="FFFFC0CB"/>
      <color rgb="FF84D1F4"/>
      <color rgb="FFB0B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5" displayName="Table5" ref="T3:T38" totalsRowShown="0" headerRowDxfId="62" dataDxfId="61" tableBorderDxfId="60">
  <autoFilter ref="T3:T38" xr:uid="{00000000-0009-0000-0100-000005000000}">
    <filterColumn colId="0" hiddenButton="1"/>
  </autoFilter>
  <tableColumns count="1">
    <tableColumn id="1" xr3:uid="{00000000-0010-0000-0100-000001000000}" name="Reminders" dataDxfId="59"/>
  </tableColumns>
  <tableStyleInfo name="TableStyleMedium2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5000000}" name="ShiftRunner52" displayName="ShiftRunner52" ref="L3:O38" headerRowDxfId="58" dataDxfId="56" totalsRowDxfId="54" headerRowBorderDxfId="57" tableBorderDxfId="55">
  <sortState xmlns:xlrd2="http://schemas.microsoft.com/office/spreadsheetml/2017/richdata2" ref="L4:O38">
    <sortCondition ref="M35:M38"/>
  </sortState>
  <tableColumns count="4">
    <tableColumn id="1" xr3:uid="{00000000-0010-0000-0500-000001000000}" name="Open" totalsRowLabel="Total" dataDxfId="53">
      <calculatedColumnFormula>IF(#REF!="","",#REF!)</calculatedColumnFormula>
    </tableColumn>
    <tableColumn id="2" xr3:uid="{00000000-0010-0000-0500-000002000000}" name="Lunch" dataDxfId="52" totalsRowDxfId="51">
      <calculatedColumnFormula>IF(#REF!="","",#REF!)</calculatedColumnFormula>
    </tableColumn>
    <tableColumn id="3" xr3:uid="{00000000-0010-0000-0500-000003000000}" name="Dinner" dataDxfId="50" totalsRowDxfId="49" dataCellStyle="Normal 2">
      <calculatedColumnFormula>IF(#REF!="","",#REF!)</calculatedColumnFormula>
    </tableColumn>
    <tableColumn id="4" xr3:uid="{00000000-0010-0000-0500-000004000000}" name="Close" totalsRowFunction="count" dataDxfId="48" totalsRowDxfId="47">
      <calculatedColumnFormula>IF(#REF!="","",#REF!)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le59" displayName="Table59" ref="T3:T38" totalsRowShown="0" headerRowDxfId="46" dataDxfId="45" tableBorderDxfId="44">
  <autoFilter ref="T3:T38" xr:uid="{00000000-0009-0000-0100-000008000000}">
    <filterColumn colId="0" hiddenButton="1"/>
  </autoFilter>
  <tableColumns count="1">
    <tableColumn id="1" xr3:uid="{00000000-0010-0000-0600-000001000000}" name="Notes" dataDxfId="43"/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ShiftRunner58" displayName="ShiftRunner58" ref="O3:R38" headerRowDxfId="42" dataDxfId="40" headerRowBorderDxfId="41" tableBorderDxfId="39">
  <sortState xmlns:xlrd2="http://schemas.microsoft.com/office/spreadsheetml/2017/richdata2" ref="O4:R38">
    <sortCondition ref="P35:P38"/>
  </sortState>
  <tableColumns count="4">
    <tableColumn id="1" xr3:uid="{00000000-0010-0000-0700-000001000000}" name="Open" totalsRowLabel="Total" dataDxfId="38">
      <calculatedColumnFormula xml:space="preserve"> IF(OR(#REF!="", ISNUMBER(MATCH(#REF!, {"zoey","sarah","cassandra","waylon"}, 0))), "",#REF!)</calculatedColumnFormula>
    </tableColumn>
    <tableColumn id="2" xr3:uid="{00000000-0010-0000-0700-000002000000}" name="Lunch" dataDxfId="37" totalsRowDxfId="36">
      <calculatedColumnFormula xml:space="preserve"> IF(OR(#REF!="", ISNUMBER(MATCH(#REF!, {"zoey","sarah","cassandra","waylon"}, 0))), "",#REF!)</calculatedColumnFormula>
    </tableColumn>
    <tableColumn id="3" xr3:uid="{00000000-0010-0000-0700-000003000000}" name="Dinner" dataDxfId="35" dataCellStyle="Normal 2">
      <calculatedColumnFormula xml:space="preserve"> IF(OR(#REF!="", ISNUMBER(MATCH(#REF!, {"zoey","sarah","cassandra","waylon"}, 0))), "",#REF!)</calculatedColumnFormula>
    </tableColumn>
    <tableColumn id="4" xr3:uid="{00000000-0010-0000-0700-000004000000}" name="Close" totalsRowFunction="count" dataDxfId="34" totalsRowDxfId="33">
      <calculatedColumnFormula xml:space="preserve"> IF(OR(#REF!="", ISNUMBER(MATCH(#REF!, {"zoey","sarah","cassandra","waylon"}, 0))), "",#REF!)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Bolded" displayName="Bolded" ref="A1:A9" totalsRowShown="0" headerRowDxfId="32" dataDxfId="31">
  <autoFilter ref="A1:A9" xr:uid="{00000000-0009-0000-0100-000002000000}"/>
  <tableColumns count="1">
    <tableColumn id="1" xr3:uid="{00000000-0010-0000-0800-000001000000}" name="Days to be bolded" dataDxfId="3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9000000}" name="Off_Days" displayName="Off_Days" ref="F1:F6" totalsRowShown="0" headerRowDxfId="29" dataDxfId="28">
  <autoFilter ref="F1:F6" xr:uid="{00000000-0009-0000-0100-000003000000}"/>
  <tableColumns count="1">
    <tableColumn id="1" xr3:uid="{00000000-0010-0000-0900-000001000000}" name="Off Days" dataDxfId="2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8F29BA9-4004-45E6-907A-3BFD96373E12}">
  <we:reference id="wa104380526" version="1.0.33.0" store="en-US" storeType="OMEX"/>
  <we:alternateReferences>
    <we:reference id="WA104380526" version="1.0.33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T43"/>
  <sheetViews>
    <sheetView showGridLines="0" tabSelected="1" zoomScale="90" zoomScaleNormal="90" workbookViewId="0">
      <selection activeCell="M10" sqref="M10"/>
    </sheetView>
  </sheetViews>
  <sheetFormatPr defaultColWidth="12.5703125" defaultRowHeight="15.75" customHeight="1" outlineLevelCol="1" x14ac:dyDescent="0.2"/>
  <cols>
    <col min="1" max="1" width="7.42578125" style="160" customWidth="1"/>
    <col min="2" max="2" width="6" customWidth="1"/>
    <col min="3" max="3" width="7.140625" customWidth="1"/>
    <col min="4" max="4" width="11.85546875" customWidth="1"/>
    <col min="5" max="5" width="1" customWidth="1"/>
    <col min="6" max="8" width="11" customWidth="1"/>
    <col min="9" max="9" width="1.140625" customWidth="1"/>
    <col min="10" max="13" width="11.85546875" customWidth="1"/>
    <col min="14" max="14" width="1.140625" customWidth="1"/>
    <col min="15" max="16" width="11.5703125" customWidth="1"/>
    <col min="17" max="17" width="1.140625" customWidth="1"/>
    <col min="18" max="18" width="10.7109375" customWidth="1"/>
    <col min="19" max="19" width="1.140625" customWidth="1" outlineLevel="1"/>
    <col min="20" max="20" width="28.28515625" customWidth="1"/>
    <col min="21" max="22" width="14.42578125" customWidth="1"/>
  </cols>
  <sheetData>
    <row r="1" spans="1:20" ht="30" customHeight="1" thickBot="1" x14ac:dyDescent="0.25">
      <c r="D1" s="175" t="s">
        <v>83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</row>
    <row r="2" spans="1:20" ht="33" customHeight="1" thickBot="1" x14ac:dyDescent="0.3">
      <c r="A2" s="161"/>
      <c r="B2" s="51">
        <v>2025</v>
      </c>
      <c r="C2" s="3"/>
      <c r="D2" s="125" t="s">
        <v>28</v>
      </c>
      <c r="E2" s="26"/>
      <c r="F2" s="183" t="s">
        <v>20</v>
      </c>
      <c r="G2" s="184"/>
      <c r="H2" s="185"/>
      <c r="I2" s="23"/>
      <c r="J2" s="176" t="s">
        <v>16</v>
      </c>
      <c r="K2" s="177"/>
      <c r="L2" s="177"/>
      <c r="M2" s="178"/>
      <c r="N2" s="20"/>
      <c r="O2" s="181" t="s">
        <v>75</v>
      </c>
      <c r="P2" s="182"/>
      <c r="Q2" s="2"/>
      <c r="R2" s="154" t="s">
        <v>60</v>
      </c>
      <c r="S2" s="2"/>
      <c r="T2" s="1" t="s">
        <v>18</v>
      </c>
    </row>
    <row r="3" spans="1:20" ht="25.5" customHeight="1" thickBot="1" x14ac:dyDescent="0.3">
      <c r="A3" s="179">
        <v>46023</v>
      </c>
      <c r="B3" s="180"/>
      <c r="C3" s="180"/>
      <c r="D3" s="165" t="s">
        <v>29</v>
      </c>
      <c r="E3" s="157" t="s">
        <v>19</v>
      </c>
      <c r="F3" s="56" t="s">
        <v>45</v>
      </c>
      <c r="G3" s="57" t="s">
        <v>30</v>
      </c>
      <c r="H3" s="58" t="s">
        <v>34</v>
      </c>
      <c r="I3" s="157" t="s">
        <v>19</v>
      </c>
      <c r="J3" s="53" t="s">
        <v>32</v>
      </c>
      <c r="K3" s="54" t="s">
        <v>33</v>
      </c>
      <c r="L3" s="54" t="s">
        <v>63</v>
      </c>
      <c r="M3" s="55" t="s">
        <v>51</v>
      </c>
      <c r="N3" s="157" t="s">
        <v>18</v>
      </c>
      <c r="O3" s="63" t="s">
        <v>84</v>
      </c>
      <c r="P3" s="65" t="s">
        <v>64</v>
      </c>
      <c r="Q3" s="158"/>
      <c r="R3" s="155" t="s">
        <v>36</v>
      </c>
      <c r="S3" s="4"/>
      <c r="T3" s="73" t="s">
        <v>0</v>
      </c>
    </row>
    <row r="4" spans="1:20" ht="24.75" customHeight="1" x14ac:dyDescent="0.25">
      <c r="A4" s="162" t="s">
        <v>1</v>
      </c>
      <c r="B4" s="14">
        <v>28</v>
      </c>
      <c r="C4" s="122" t="s">
        <v>3</v>
      </c>
      <c r="D4" s="166" t="s">
        <v>72</v>
      </c>
      <c r="E4" s="12"/>
      <c r="F4" s="152" t="s">
        <v>25</v>
      </c>
      <c r="G4" s="86" t="s">
        <v>62</v>
      </c>
      <c r="H4" s="137" t="s">
        <v>26</v>
      </c>
      <c r="I4" s="12"/>
      <c r="J4" s="99" t="s">
        <v>23</v>
      </c>
      <c r="K4" s="97" t="s">
        <v>38</v>
      </c>
      <c r="L4" s="97" t="s">
        <v>17</v>
      </c>
      <c r="M4" s="100" t="s">
        <v>59</v>
      </c>
      <c r="N4" s="12"/>
      <c r="O4" s="99" t="s">
        <v>17</v>
      </c>
      <c r="P4" s="100" t="s">
        <v>23</v>
      </c>
      <c r="Q4" s="52"/>
      <c r="R4" s="93" t="s">
        <v>23</v>
      </c>
      <c r="S4" s="7"/>
      <c r="T4" s="104"/>
    </row>
    <row r="5" spans="1:20" ht="24.75" customHeight="1" x14ac:dyDescent="0.25">
      <c r="A5" s="159" t="s">
        <v>2</v>
      </c>
      <c r="B5" s="16">
        <v>29</v>
      </c>
      <c r="C5" s="123" t="s">
        <v>18</v>
      </c>
      <c r="D5" s="167" t="s">
        <v>70</v>
      </c>
      <c r="E5" s="12"/>
      <c r="F5" s="140" t="s">
        <v>25</v>
      </c>
      <c r="G5" s="83" t="s">
        <v>69</v>
      </c>
      <c r="H5" s="139" t="s">
        <v>26</v>
      </c>
      <c r="I5" s="12"/>
      <c r="J5" s="87" t="s">
        <v>61</v>
      </c>
      <c r="K5" s="89" t="s">
        <v>38</v>
      </c>
      <c r="L5" s="89" t="s">
        <v>23</v>
      </c>
      <c r="M5" s="88" t="s">
        <v>23</v>
      </c>
      <c r="N5" s="12"/>
      <c r="O5" s="87" t="s">
        <v>61</v>
      </c>
      <c r="P5" s="88" t="s">
        <v>59</v>
      </c>
      <c r="Q5" s="52"/>
      <c r="R5" s="94" t="s">
        <v>22</v>
      </c>
      <c r="S5" s="7"/>
      <c r="T5" s="105" t="s">
        <v>73</v>
      </c>
    </row>
    <row r="6" spans="1:20" ht="24.75" customHeight="1" x14ac:dyDescent="0.25">
      <c r="A6" s="159" t="s">
        <v>4</v>
      </c>
      <c r="B6" s="16">
        <v>30</v>
      </c>
      <c r="C6" s="123" t="s">
        <v>18</v>
      </c>
      <c r="D6" s="167" t="s">
        <v>23</v>
      </c>
      <c r="E6" s="12"/>
      <c r="F6" s="140" t="s">
        <v>25</v>
      </c>
      <c r="G6" s="83" t="s">
        <v>66</v>
      </c>
      <c r="H6" s="139" t="s">
        <v>23</v>
      </c>
      <c r="I6" s="12"/>
      <c r="J6" s="87" t="s">
        <v>23</v>
      </c>
      <c r="K6" s="89" t="s">
        <v>38</v>
      </c>
      <c r="L6" s="89" t="s">
        <v>59</v>
      </c>
      <c r="M6" s="88" t="s">
        <v>26</v>
      </c>
      <c r="N6" s="12"/>
      <c r="O6" s="87" t="s">
        <v>23</v>
      </c>
      <c r="P6" s="88" t="s">
        <v>61</v>
      </c>
      <c r="Q6" s="52"/>
      <c r="R6" s="94" t="s">
        <v>22</v>
      </c>
      <c r="S6" s="7"/>
      <c r="T6" s="105"/>
    </row>
    <row r="7" spans="1:20" ht="24.75" customHeight="1" x14ac:dyDescent="0.25">
      <c r="A7" s="159" t="s">
        <v>5</v>
      </c>
      <c r="B7" s="16">
        <v>31</v>
      </c>
      <c r="C7" s="123" t="s">
        <v>7</v>
      </c>
      <c r="D7" s="167" t="s">
        <v>69</v>
      </c>
      <c r="E7" s="12"/>
      <c r="F7" s="140" t="s">
        <v>25</v>
      </c>
      <c r="G7" s="83" t="s">
        <v>79</v>
      </c>
      <c r="H7" s="139" t="s">
        <v>61</v>
      </c>
      <c r="I7" s="12"/>
      <c r="J7" s="87" t="s">
        <v>23</v>
      </c>
      <c r="K7" s="89" t="s">
        <v>38</v>
      </c>
      <c r="L7" s="89" t="s">
        <v>80</v>
      </c>
      <c r="M7" s="88" t="s">
        <v>80</v>
      </c>
      <c r="N7" s="12"/>
      <c r="O7" s="87" t="s">
        <v>17</v>
      </c>
      <c r="P7" s="88" t="s">
        <v>61</v>
      </c>
      <c r="Q7" s="52"/>
      <c r="R7" s="94" t="s">
        <v>22</v>
      </c>
      <c r="S7" s="7"/>
      <c r="T7" s="105" t="s">
        <v>77</v>
      </c>
    </row>
    <row r="8" spans="1:20" ht="24.75" customHeight="1" x14ac:dyDescent="0.25">
      <c r="A8" s="159" t="s">
        <v>6</v>
      </c>
      <c r="B8" s="16">
        <v>1</v>
      </c>
      <c r="C8" s="123" t="s">
        <v>9</v>
      </c>
      <c r="D8" s="168" t="s">
        <v>23</v>
      </c>
      <c r="E8" s="12"/>
      <c r="F8" s="140" t="s">
        <v>82</v>
      </c>
      <c r="G8" s="83" t="s">
        <v>81</v>
      </c>
      <c r="H8" s="139" t="s">
        <v>27</v>
      </c>
      <c r="I8" s="12"/>
      <c r="J8" s="87" t="s">
        <v>23</v>
      </c>
      <c r="K8" s="89" t="s">
        <v>38</v>
      </c>
      <c r="L8" s="89" t="s">
        <v>23</v>
      </c>
      <c r="M8" s="88" t="s">
        <v>26</v>
      </c>
      <c r="N8" s="12"/>
      <c r="O8" s="87" t="s">
        <v>23</v>
      </c>
      <c r="P8" s="88" t="s">
        <v>61</v>
      </c>
      <c r="Q8" s="52"/>
      <c r="R8" s="94" t="s">
        <v>22</v>
      </c>
      <c r="S8" s="7"/>
      <c r="T8" s="105" t="s">
        <v>78</v>
      </c>
    </row>
    <row r="9" spans="1:20" ht="24.75" customHeight="1" x14ac:dyDescent="0.25">
      <c r="A9" s="159" t="s">
        <v>8</v>
      </c>
      <c r="B9" s="16">
        <v>2</v>
      </c>
      <c r="C9" s="123" t="s">
        <v>18</v>
      </c>
      <c r="D9" s="167" t="s">
        <v>68</v>
      </c>
      <c r="E9" s="12"/>
      <c r="F9" s="138" t="s">
        <v>76</v>
      </c>
      <c r="G9" s="83" t="s">
        <v>23</v>
      </c>
      <c r="H9" s="139" t="s">
        <v>61</v>
      </c>
      <c r="I9" s="12"/>
      <c r="J9" s="87" t="s">
        <v>23</v>
      </c>
      <c r="K9" s="89" t="s">
        <v>23</v>
      </c>
      <c r="L9" s="89" t="s">
        <v>59</v>
      </c>
      <c r="M9" s="88" t="s">
        <v>23</v>
      </c>
      <c r="N9" s="12"/>
      <c r="O9" s="87" t="s">
        <v>26</v>
      </c>
      <c r="P9" s="88" t="s">
        <v>23</v>
      </c>
      <c r="Q9" s="52"/>
      <c r="R9" s="94" t="s">
        <v>22</v>
      </c>
      <c r="S9" s="7"/>
      <c r="T9" s="105"/>
    </row>
    <row r="10" spans="1:20" ht="24.75" customHeight="1" thickBot="1" x14ac:dyDescent="0.3">
      <c r="A10" s="163" t="s">
        <v>10</v>
      </c>
      <c r="B10" s="19">
        <v>3</v>
      </c>
      <c r="C10" s="124" t="s">
        <v>18</v>
      </c>
      <c r="D10" s="142" t="s">
        <v>68</v>
      </c>
      <c r="E10" s="12"/>
      <c r="F10" s="143" t="s">
        <v>67</v>
      </c>
      <c r="G10" s="85" t="s">
        <v>27</v>
      </c>
      <c r="H10" s="144" t="s">
        <v>58</v>
      </c>
      <c r="I10" s="12"/>
      <c r="J10" s="90" t="s">
        <v>23</v>
      </c>
      <c r="K10" s="91" t="s">
        <v>23</v>
      </c>
      <c r="L10" s="91" t="s">
        <v>91</v>
      </c>
      <c r="M10" s="92" t="s">
        <v>26</v>
      </c>
      <c r="N10" s="12"/>
      <c r="O10" s="90" t="s">
        <v>26</v>
      </c>
      <c r="P10" s="92" t="s">
        <v>61</v>
      </c>
      <c r="Q10" s="52"/>
      <c r="R10" s="96" t="s">
        <v>23</v>
      </c>
      <c r="S10" s="7"/>
      <c r="T10" s="108"/>
    </row>
    <row r="11" spans="1:20" ht="24.75" customHeight="1" x14ac:dyDescent="0.25">
      <c r="A11" s="162" t="s">
        <v>1</v>
      </c>
      <c r="B11" s="14">
        <v>4</v>
      </c>
      <c r="C11" s="122" t="s">
        <v>3</v>
      </c>
      <c r="D11" s="166" t="s">
        <v>23</v>
      </c>
      <c r="E11" s="12"/>
      <c r="F11" s="152" t="s">
        <v>66</v>
      </c>
      <c r="G11" s="86" t="s">
        <v>87</v>
      </c>
      <c r="H11" s="137" t="s">
        <v>58</v>
      </c>
      <c r="I11" s="12"/>
      <c r="J11" s="99" t="s">
        <v>23</v>
      </c>
      <c r="K11" s="97" t="s">
        <v>65</v>
      </c>
      <c r="L11" s="97" t="s">
        <v>26</v>
      </c>
      <c r="M11" s="100" t="s">
        <v>55</v>
      </c>
      <c r="N11" s="12"/>
      <c r="O11" s="99" t="s">
        <v>23</v>
      </c>
      <c r="P11" s="100" t="s">
        <v>17</v>
      </c>
      <c r="Q11" s="7"/>
      <c r="R11" s="93" t="s">
        <v>23</v>
      </c>
      <c r="S11" s="7"/>
      <c r="T11" s="104"/>
    </row>
    <row r="12" spans="1:20" ht="24.75" customHeight="1" x14ac:dyDescent="0.25">
      <c r="A12" s="159" t="s">
        <v>2</v>
      </c>
      <c r="B12" s="16">
        <f>IF(B11=Data!$D$4,1,B11+1)</f>
        <v>5</v>
      </c>
      <c r="C12" s="123" t="s">
        <v>18</v>
      </c>
      <c r="D12" s="167" t="s">
        <v>23</v>
      </c>
      <c r="E12" s="169"/>
      <c r="F12" s="138" t="s">
        <v>23</v>
      </c>
      <c r="G12" s="83" t="s">
        <v>69</v>
      </c>
      <c r="H12" s="139" t="s">
        <v>58</v>
      </c>
      <c r="I12" s="12"/>
      <c r="J12" s="87" t="s">
        <v>61</v>
      </c>
      <c r="K12" s="89" t="s">
        <v>65</v>
      </c>
      <c r="L12" s="89" t="s">
        <v>23</v>
      </c>
      <c r="M12" s="103" t="s">
        <v>26</v>
      </c>
      <c r="N12" s="12"/>
      <c r="O12" s="87" t="s">
        <v>23</v>
      </c>
      <c r="P12" s="88" t="s">
        <v>27</v>
      </c>
      <c r="Q12" s="7"/>
      <c r="R12" s="94" t="s">
        <v>23</v>
      </c>
      <c r="S12" s="7"/>
      <c r="T12" s="105"/>
    </row>
    <row r="13" spans="1:20" ht="24.75" customHeight="1" x14ac:dyDescent="0.25">
      <c r="A13" s="159" t="s">
        <v>4</v>
      </c>
      <c r="B13" s="16">
        <f>IF(B12=Data!$D$4,1,B12+1)</f>
        <v>6</v>
      </c>
      <c r="C13" s="123" t="s">
        <v>18</v>
      </c>
      <c r="D13" s="167" t="s">
        <v>99</v>
      </c>
      <c r="E13" s="153" t="s">
        <v>100</v>
      </c>
      <c r="F13" s="138" t="s">
        <v>70</v>
      </c>
      <c r="G13" s="83" t="s">
        <v>68</v>
      </c>
      <c r="H13" s="139" t="s">
        <v>58</v>
      </c>
      <c r="I13" s="12"/>
      <c r="J13" s="87" t="s">
        <v>23</v>
      </c>
      <c r="K13" s="89" t="s">
        <v>65</v>
      </c>
      <c r="L13" s="89" t="s">
        <v>61</v>
      </c>
      <c r="M13" s="88" t="s">
        <v>55</v>
      </c>
      <c r="N13" s="12"/>
      <c r="O13" s="87" t="s">
        <v>94</v>
      </c>
      <c r="P13" s="88" t="s">
        <v>61</v>
      </c>
      <c r="Q13" s="7"/>
      <c r="R13" s="94" t="s">
        <v>27</v>
      </c>
      <c r="S13" s="7"/>
      <c r="T13" s="105" t="s">
        <v>98</v>
      </c>
    </row>
    <row r="14" spans="1:20" ht="24.75" customHeight="1" x14ac:dyDescent="0.25">
      <c r="A14" s="159" t="s">
        <v>5</v>
      </c>
      <c r="B14" s="16">
        <f>IF(B13=Data!$D$4,1,B13+1)</f>
        <v>7</v>
      </c>
      <c r="C14" s="123" t="s">
        <v>7</v>
      </c>
      <c r="D14" s="167" t="s">
        <v>66</v>
      </c>
      <c r="E14" s="12"/>
      <c r="F14" s="140" t="s">
        <v>67</v>
      </c>
      <c r="G14" s="83" t="s">
        <v>23</v>
      </c>
      <c r="H14" s="139" t="s">
        <v>17</v>
      </c>
      <c r="I14" s="12"/>
      <c r="J14" s="87" t="s">
        <v>26</v>
      </c>
      <c r="K14" s="89" t="s">
        <v>65</v>
      </c>
      <c r="L14" s="89" t="s">
        <v>55</v>
      </c>
      <c r="M14" s="88" t="s">
        <v>23</v>
      </c>
      <c r="N14" s="12"/>
      <c r="O14" s="87" t="s">
        <v>17</v>
      </c>
      <c r="P14" s="88" t="s">
        <v>61</v>
      </c>
      <c r="Q14" s="7"/>
      <c r="R14" s="94" t="s">
        <v>58</v>
      </c>
      <c r="S14" s="7"/>
      <c r="T14" s="105"/>
    </row>
    <row r="15" spans="1:20" ht="24.75" customHeight="1" x14ac:dyDescent="0.25">
      <c r="A15" s="159" t="s">
        <v>6</v>
      </c>
      <c r="B15" s="16">
        <f>IF(B14=Data!$D$4,1,B14+1)</f>
        <v>8</v>
      </c>
      <c r="C15" s="123" t="s">
        <v>9</v>
      </c>
      <c r="D15" s="167" t="s">
        <v>66</v>
      </c>
      <c r="E15" s="12"/>
      <c r="F15" s="140" t="s">
        <v>67</v>
      </c>
      <c r="G15" s="83" t="s">
        <v>74</v>
      </c>
      <c r="H15" s="139" t="s">
        <v>27</v>
      </c>
      <c r="I15" s="12"/>
      <c r="J15" s="170" t="s">
        <v>55</v>
      </c>
      <c r="K15" s="89" t="s">
        <v>65</v>
      </c>
      <c r="L15" s="89" t="s">
        <v>23</v>
      </c>
      <c r="M15" s="88" t="s">
        <v>17</v>
      </c>
      <c r="N15" s="12"/>
      <c r="O15" s="87" t="s">
        <v>17</v>
      </c>
      <c r="P15" s="88" t="s">
        <v>61</v>
      </c>
      <c r="Q15" s="7"/>
      <c r="R15" s="94" t="s">
        <v>22</v>
      </c>
      <c r="S15" s="7"/>
      <c r="T15" s="105"/>
    </row>
    <row r="16" spans="1:20" ht="24.75" customHeight="1" x14ac:dyDescent="0.25">
      <c r="A16" s="159" t="s">
        <v>8</v>
      </c>
      <c r="B16" s="16">
        <f>IF(B15=Data!$D$4,1,B15+1)</f>
        <v>9</v>
      </c>
      <c r="C16" s="123" t="s">
        <v>18</v>
      </c>
      <c r="D16" s="167" t="s">
        <v>71</v>
      </c>
      <c r="E16" s="12"/>
      <c r="F16" s="138" t="s">
        <v>76</v>
      </c>
      <c r="G16" s="83" t="s">
        <v>86</v>
      </c>
      <c r="H16" s="139" t="s">
        <v>26</v>
      </c>
      <c r="I16" s="12"/>
      <c r="J16" s="87" t="s">
        <v>23</v>
      </c>
      <c r="K16" s="89" t="s">
        <v>23</v>
      </c>
      <c r="L16" s="89" t="s">
        <v>26</v>
      </c>
      <c r="M16" s="88" t="s">
        <v>23</v>
      </c>
      <c r="N16" s="12"/>
      <c r="O16" s="87" t="s">
        <v>94</v>
      </c>
      <c r="P16" s="88" t="s">
        <v>61</v>
      </c>
      <c r="Q16" s="7"/>
      <c r="R16" s="94" t="s">
        <v>22</v>
      </c>
      <c r="S16" s="7"/>
      <c r="T16" s="105"/>
    </row>
    <row r="17" spans="1:20" ht="24.75" customHeight="1" thickBot="1" x14ac:dyDescent="0.3">
      <c r="A17" s="163" t="s">
        <v>10</v>
      </c>
      <c r="B17" s="19">
        <f>IF(B16=Data!$D$4,1,B16+1)</f>
        <v>10</v>
      </c>
      <c r="C17" s="124" t="s">
        <v>18</v>
      </c>
      <c r="D17" s="167" t="s">
        <v>71</v>
      </c>
      <c r="E17" s="12"/>
      <c r="F17" s="143" t="s">
        <v>27</v>
      </c>
      <c r="G17" s="85" t="s">
        <v>27</v>
      </c>
      <c r="H17" s="144" t="s">
        <v>27</v>
      </c>
      <c r="I17" s="12"/>
      <c r="J17" s="90" t="s">
        <v>23</v>
      </c>
      <c r="K17" s="91" t="s">
        <v>23</v>
      </c>
      <c r="L17" s="91" t="s">
        <v>55</v>
      </c>
      <c r="M17" s="92" t="s">
        <v>26</v>
      </c>
      <c r="N17" s="12"/>
      <c r="O17" s="90" t="s">
        <v>94</v>
      </c>
      <c r="P17" s="92" t="s">
        <v>23</v>
      </c>
      <c r="Q17" s="7"/>
      <c r="R17" s="96" t="s">
        <v>22</v>
      </c>
      <c r="S17" s="7"/>
      <c r="T17" s="107"/>
    </row>
    <row r="18" spans="1:20" ht="24.75" customHeight="1" x14ac:dyDescent="0.25">
      <c r="A18" s="162" t="s">
        <v>1</v>
      </c>
      <c r="B18" s="14">
        <f>IF(B17=Data!$D$4,1,B17+1)</f>
        <v>11</v>
      </c>
      <c r="C18" s="122" t="s">
        <v>3</v>
      </c>
      <c r="D18" s="166" t="s">
        <v>72</v>
      </c>
      <c r="E18" s="12"/>
      <c r="F18" s="152" t="s">
        <v>67</v>
      </c>
      <c r="G18" s="86" t="s">
        <v>27</v>
      </c>
      <c r="H18" s="137" t="s">
        <v>58</v>
      </c>
      <c r="I18" s="12"/>
      <c r="J18" s="99" t="s">
        <v>23</v>
      </c>
      <c r="K18" s="97" t="s">
        <v>65</v>
      </c>
      <c r="L18" s="97" t="s">
        <v>26</v>
      </c>
      <c r="M18" s="100" t="s">
        <v>91</v>
      </c>
      <c r="N18" s="12"/>
      <c r="O18" s="99" t="s">
        <v>17</v>
      </c>
      <c r="P18" s="100" t="s">
        <v>61</v>
      </c>
      <c r="Q18" s="7"/>
      <c r="R18" s="93" t="s">
        <v>23</v>
      </c>
      <c r="S18" s="7"/>
      <c r="T18" s="104"/>
    </row>
    <row r="19" spans="1:20" ht="24.75" customHeight="1" x14ac:dyDescent="0.25">
      <c r="A19" s="159" t="s">
        <v>2</v>
      </c>
      <c r="B19" s="16">
        <f>IF(B18=Data!$D$4,1,B18+1)</f>
        <v>12</v>
      </c>
      <c r="C19" s="123" t="s">
        <v>18</v>
      </c>
      <c r="D19" s="168" t="s">
        <v>23</v>
      </c>
      <c r="E19" s="153" t="s">
        <v>97</v>
      </c>
      <c r="F19" s="138" t="s">
        <v>70</v>
      </c>
      <c r="G19" s="83" t="s">
        <v>69</v>
      </c>
      <c r="H19" s="139" t="s">
        <v>23</v>
      </c>
      <c r="I19" s="12"/>
      <c r="J19" s="87" t="s">
        <v>61</v>
      </c>
      <c r="K19" s="89" t="s">
        <v>65</v>
      </c>
      <c r="L19" s="89" t="s">
        <v>23</v>
      </c>
      <c r="M19" s="88" t="s">
        <v>26</v>
      </c>
      <c r="N19" s="12"/>
      <c r="O19" s="87" t="s">
        <v>23</v>
      </c>
      <c r="P19" s="88" t="s">
        <v>61</v>
      </c>
      <c r="Q19" s="7"/>
      <c r="R19" s="94" t="s">
        <v>58</v>
      </c>
      <c r="S19" s="7"/>
      <c r="T19" s="105" t="s">
        <v>96</v>
      </c>
    </row>
    <row r="20" spans="1:20" ht="24.75" customHeight="1" x14ac:dyDescent="0.25">
      <c r="A20" s="159" t="s">
        <v>4</v>
      </c>
      <c r="B20" s="16">
        <f>IF(B19=Data!$D$4,1,B19+1)</f>
        <v>13</v>
      </c>
      <c r="C20" s="123" t="s">
        <v>18</v>
      </c>
      <c r="D20" s="168" t="s">
        <v>23</v>
      </c>
      <c r="E20" s="153"/>
      <c r="F20" s="140" t="s">
        <v>66</v>
      </c>
      <c r="G20" s="83" t="s">
        <v>23</v>
      </c>
      <c r="H20" s="139" t="s">
        <v>91</v>
      </c>
      <c r="I20" s="156"/>
      <c r="J20" s="87" t="s">
        <v>23</v>
      </c>
      <c r="K20" s="89" t="s">
        <v>65</v>
      </c>
      <c r="L20" s="89" t="s">
        <v>61</v>
      </c>
      <c r="M20" s="88" t="s">
        <v>26</v>
      </c>
      <c r="N20" s="12"/>
      <c r="O20" s="87" t="s">
        <v>23</v>
      </c>
      <c r="P20" s="88" t="s">
        <v>17</v>
      </c>
      <c r="Q20" s="7"/>
      <c r="R20" s="94" t="s">
        <v>58</v>
      </c>
      <c r="S20" s="7"/>
      <c r="T20" s="105"/>
    </row>
    <row r="21" spans="1:20" ht="24.75" customHeight="1" x14ac:dyDescent="0.25">
      <c r="A21" s="159" t="s">
        <v>5</v>
      </c>
      <c r="B21" s="16">
        <f>IF(B20=Data!$D$4,1,B20+1)</f>
        <v>14</v>
      </c>
      <c r="C21" s="123" t="s">
        <v>7</v>
      </c>
      <c r="D21" s="167" t="s">
        <v>66</v>
      </c>
      <c r="E21" s="153"/>
      <c r="F21" s="138" t="s">
        <v>67</v>
      </c>
      <c r="G21" s="83" t="s">
        <v>23</v>
      </c>
      <c r="H21" s="139" t="s">
        <v>91</v>
      </c>
      <c r="I21" s="12"/>
      <c r="J21" s="87" t="s">
        <v>26</v>
      </c>
      <c r="K21" s="89" t="s">
        <v>65</v>
      </c>
      <c r="L21" s="89" t="s">
        <v>23</v>
      </c>
      <c r="M21" s="88" t="s">
        <v>91</v>
      </c>
      <c r="N21" s="12"/>
      <c r="O21" s="87" t="s">
        <v>17</v>
      </c>
      <c r="P21" s="88" t="s">
        <v>61</v>
      </c>
      <c r="Q21" s="7"/>
      <c r="R21" s="94" t="s">
        <v>58</v>
      </c>
      <c r="S21" s="7"/>
      <c r="T21" s="105"/>
    </row>
    <row r="22" spans="1:20" ht="24.75" customHeight="1" x14ac:dyDescent="0.25">
      <c r="A22" s="159" t="s">
        <v>6</v>
      </c>
      <c r="B22" s="16">
        <f>IF(B21=Data!$D$4,1,B21+1)</f>
        <v>15</v>
      </c>
      <c r="C22" s="123" t="s">
        <v>9</v>
      </c>
      <c r="D22" s="167" t="s">
        <v>66</v>
      </c>
      <c r="E22" s="12"/>
      <c r="F22" s="140" t="s">
        <v>27</v>
      </c>
      <c r="G22" s="83" t="s">
        <v>87</v>
      </c>
      <c r="H22" s="139" t="s">
        <v>27</v>
      </c>
      <c r="I22" s="12"/>
      <c r="J22" s="170" t="s">
        <v>55</v>
      </c>
      <c r="K22" s="89" t="s">
        <v>65</v>
      </c>
      <c r="L22" s="89" t="s">
        <v>26</v>
      </c>
      <c r="M22" s="88" t="s">
        <v>17</v>
      </c>
      <c r="N22" s="12"/>
      <c r="O22" s="87" t="s">
        <v>17</v>
      </c>
      <c r="P22" s="88" t="s">
        <v>27</v>
      </c>
      <c r="Q22" s="7"/>
      <c r="R22" s="94" t="s">
        <v>22</v>
      </c>
      <c r="S22" s="7"/>
      <c r="T22" s="105"/>
    </row>
    <row r="23" spans="1:20" ht="24.75" customHeight="1" x14ac:dyDescent="0.25">
      <c r="A23" s="159" t="s">
        <v>8</v>
      </c>
      <c r="B23" s="16">
        <f>IF(B22=Data!$D$4,1,B22+1)</f>
        <v>16</v>
      </c>
      <c r="C23" s="123" t="s">
        <v>18</v>
      </c>
      <c r="D23" s="167" t="s">
        <v>71</v>
      </c>
      <c r="E23" s="12"/>
      <c r="F23" s="140" t="s">
        <v>27</v>
      </c>
      <c r="G23" s="83" t="s">
        <v>62</v>
      </c>
      <c r="H23" s="139" t="s">
        <v>26</v>
      </c>
      <c r="I23" s="12"/>
      <c r="J23" s="87" t="s">
        <v>55</v>
      </c>
      <c r="K23" s="89" t="s">
        <v>23</v>
      </c>
      <c r="L23" s="89" t="s">
        <v>91</v>
      </c>
      <c r="M23" s="88" t="s">
        <v>23</v>
      </c>
      <c r="N23" s="12"/>
      <c r="O23" s="87" t="s">
        <v>94</v>
      </c>
      <c r="P23" s="88" t="s">
        <v>23</v>
      </c>
      <c r="Q23" s="7"/>
      <c r="R23" s="94" t="s">
        <v>27</v>
      </c>
      <c r="S23" s="7"/>
      <c r="T23" s="105"/>
    </row>
    <row r="24" spans="1:20" ht="24.75" customHeight="1" thickBot="1" x14ac:dyDescent="0.3">
      <c r="A24" s="163" t="s">
        <v>10</v>
      </c>
      <c r="B24" s="19">
        <f>IF(B23=Data!$D$4,1,B23+1)</f>
        <v>17</v>
      </c>
      <c r="C24" s="124" t="s">
        <v>18</v>
      </c>
      <c r="D24" s="167" t="s">
        <v>39</v>
      </c>
      <c r="E24" s="12"/>
      <c r="F24" s="143" t="s">
        <v>67</v>
      </c>
      <c r="G24" s="85" t="s">
        <v>62</v>
      </c>
      <c r="H24" s="144" t="s">
        <v>26</v>
      </c>
      <c r="I24" s="12"/>
      <c r="J24" s="90" t="s">
        <v>55</v>
      </c>
      <c r="K24" s="91" t="s">
        <v>23</v>
      </c>
      <c r="L24" s="91" t="s">
        <v>17</v>
      </c>
      <c r="M24" s="92" t="s">
        <v>23</v>
      </c>
      <c r="N24" s="12"/>
      <c r="O24" s="90" t="s">
        <v>61</v>
      </c>
      <c r="P24" s="92" t="s">
        <v>61</v>
      </c>
      <c r="Q24" s="7"/>
      <c r="R24" s="96" t="s">
        <v>23</v>
      </c>
      <c r="S24" s="7"/>
      <c r="T24" s="108"/>
    </row>
    <row r="25" spans="1:20" ht="24.75" customHeight="1" x14ac:dyDescent="0.25">
      <c r="A25" s="162" t="s">
        <v>1</v>
      </c>
      <c r="B25" s="14">
        <f>IF(B24=Data!$D$4,1,B24+1)</f>
        <v>18</v>
      </c>
      <c r="C25" s="122" t="s">
        <v>3</v>
      </c>
      <c r="D25" s="174" t="s">
        <v>103</v>
      </c>
      <c r="E25" s="153"/>
      <c r="F25" s="136" t="s">
        <v>88</v>
      </c>
      <c r="G25" s="86" t="s">
        <v>90</v>
      </c>
      <c r="H25" s="137" t="s">
        <v>65</v>
      </c>
      <c r="I25" s="8"/>
      <c r="J25" s="99" t="s">
        <v>23</v>
      </c>
      <c r="K25" s="97" t="s">
        <v>65</v>
      </c>
      <c r="L25" s="97" t="s">
        <v>102</v>
      </c>
      <c r="M25" s="100" t="s">
        <v>65</v>
      </c>
      <c r="N25" s="12"/>
      <c r="O25" s="99" t="s">
        <v>61</v>
      </c>
      <c r="P25" s="100" t="s">
        <v>95</v>
      </c>
      <c r="Q25" s="7"/>
      <c r="R25" s="93" t="s">
        <v>23</v>
      </c>
      <c r="S25" s="7"/>
      <c r="T25" s="104" t="s">
        <v>89</v>
      </c>
    </row>
    <row r="26" spans="1:20" ht="24.75" customHeight="1" x14ac:dyDescent="0.25">
      <c r="A26" s="159" t="s">
        <v>2</v>
      </c>
      <c r="B26" s="16">
        <f>IF(B25=Data!$D$4,1,B25+1)</f>
        <v>19</v>
      </c>
      <c r="C26" s="123" t="s">
        <v>18</v>
      </c>
      <c r="D26" s="168" t="s">
        <v>72</v>
      </c>
      <c r="E26" s="153"/>
      <c r="F26" s="138" t="s">
        <v>62</v>
      </c>
      <c r="G26" s="83" t="s">
        <v>23</v>
      </c>
      <c r="H26" s="139" t="s">
        <v>59</v>
      </c>
      <c r="I26" s="12"/>
      <c r="J26" s="87" t="s">
        <v>61</v>
      </c>
      <c r="K26" s="89" t="s">
        <v>65</v>
      </c>
      <c r="L26" s="89" t="s">
        <v>26</v>
      </c>
      <c r="M26" s="88" t="s">
        <v>23</v>
      </c>
      <c r="N26" s="12"/>
      <c r="O26" s="87" t="s">
        <v>94</v>
      </c>
      <c r="P26" s="88" t="s">
        <v>95</v>
      </c>
      <c r="Q26" s="7"/>
      <c r="R26" s="94" t="s">
        <v>27</v>
      </c>
      <c r="S26" s="7"/>
      <c r="T26" s="105"/>
    </row>
    <row r="27" spans="1:20" ht="24.75" customHeight="1" x14ac:dyDescent="0.25">
      <c r="A27" s="159" t="s">
        <v>4</v>
      </c>
      <c r="B27" s="16">
        <f>IF(B26=Data!$D$4,1,B26+1)</f>
        <v>20</v>
      </c>
      <c r="C27" s="123" t="s">
        <v>18</v>
      </c>
      <c r="D27" s="168" t="s">
        <v>66</v>
      </c>
      <c r="E27" s="153"/>
      <c r="F27" s="138" t="s">
        <v>23</v>
      </c>
      <c r="G27" s="83" t="s">
        <v>23</v>
      </c>
      <c r="H27" s="139" t="s">
        <v>61</v>
      </c>
      <c r="I27" s="12"/>
      <c r="J27" s="87" t="s">
        <v>23</v>
      </c>
      <c r="K27" s="89" t="s">
        <v>65</v>
      </c>
      <c r="L27" s="89" t="s">
        <v>55</v>
      </c>
      <c r="M27" s="88" t="s">
        <v>26</v>
      </c>
      <c r="N27" s="12"/>
      <c r="O27" s="87" t="s">
        <v>17</v>
      </c>
      <c r="P27" s="88" t="s">
        <v>23</v>
      </c>
      <c r="Q27" s="7"/>
      <c r="R27" s="94" t="s">
        <v>58</v>
      </c>
      <c r="S27" s="7"/>
      <c r="T27" s="105" t="s">
        <v>85</v>
      </c>
    </row>
    <row r="28" spans="1:20" ht="24.75" customHeight="1" x14ac:dyDescent="0.25">
      <c r="A28" s="159" t="s">
        <v>5</v>
      </c>
      <c r="B28" s="16">
        <f>IF(B27=Data!$D$4,1,B27+1)</f>
        <v>21</v>
      </c>
      <c r="C28" s="123" t="s">
        <v>7</v>
      </c>
      <c r="D28" s="168" t="s">
        <v>104</v>
      </c>
      <c r="E28" s="12"/>
      <c r="F28" s="140" t="s">
        <v>70</v>
      </c>
      <c r="G28" s="83" t="s">
        <v>71</v>
      </c>
      <c r="H28" s="139" t="s">
        <v>23</v>
      </c>
      <c r="I28" s="12"/>
      <c r="J28" s="87" t="s">
        <v>26</v>
      </c>
      <c r="K28" s="89" t="s">
        <v>65</v>
      </c>
      <c r="L28" s="89" t="s">
        <v>23</v>
      </c>
      <c r="M28" s="88" t="s">
        <v>55</v>
      </c>
      <c r="N28" s="12"/>
      <c r="O28" s="87" t="s">
        <v>23</v>
      </c>
      <c r="P28" s="88" t="s">
        <v>61</v>
      </c>
      <c r="Q28" s="7"/>
      <c r="R28" s="94" t="s">
        <v>58</v>
      </c>
      <c r="S28" s="7"/>
      <c r="T28" s="105" t="s">
        <v>101</v>
      </c>
    </row>
    <row r="29" spans="1:20" ht="24.75" customHeight="1" x14ac:dyDescent="0.25">
      <c r="A29" s="159" t="s">
        <v>6</v>
      </c>
      <c r="B29" s="16">
        <f>IF(B28=Data!$D$4,1,B28+1)</f>
        <v>22</v>
      </c>
      <c r="C29" s="123" t="s">
        <v>9</v>
      </c>
      <c r="D29" s="167" t="s">
        <v>23</v>
      </c>
      <c r="E29" s="169"/>
      <c r="F29" s="138" t="s">
        <v>23</v>
      </c>
      <c r="G29" s="83" t="s">
        <v>71</v>
      </c>
      <c r="H29" s="141" t="s">
        <v>27</v>
      </c>
      <c r="I29" s="169"/>
      <c r="J29" s="170" t="s">
        <v>55</v>
      </c>
      <c r="K29" s="89" t="s">
        <v>65</v>
      </c>
      <c r="L29" s="171" t="s">
        <v>26</v>
      </c>
      <c r="M29" s="88" t="s">
        <v>17</v>
      </c>
      <c r="N29" s="169"/>
      <c r="O29" s="87" t="s">
        <v>61</v>
      </c>
      <c r="P29" s="88" t="s">
        <v>23</v>
      </c>
      <c r="Q29" s="172"/>
      <c r="R29" s="173" t="s">
        <v>22</v>
      </c>
      <c r="S29" s="172"/>
      <c r="T29" s="105"/>
    </row>
    <row r="30" spans="1:20" ht="24.75" customHeight="1" x14ac:dyDescent="0.25">
      <c r="A30" s="159" t="s">
        <v>8</v>
      </c>
      <c r="B30" s="16">
        <f>IF(B29=Data!$D$4,1,B29+1)</f>
        <v>23</v>
      </c>
      <c r="C30" s="123" t="s">
        <v>18</v>
      </c>
      <c r="D30" s="167" t="s">
        <v>23</v>
      </c>
      <c r="E30" s="12"/>
      <c r="F30" s="140" t="s">
        <v>71</v>
      </c>
      <c r="G30" s="83" t="s">
        <v>68</v>
      </c>
      <c r="H30" s="139" t="s">
        <v>55</v>
      </c>
      <c r="I30" s="12"/>
      <c r="J30" s="87" t="s">
        <v>23</v>
      </c>
      <c r="K30" s="89" t="s">
        <v>23</v>
      </c>
      <c r="L30" s="89" t="s">
        <v>91</v>
      </c>
      <c r="M30" s="88" t="s">
        <v>23</v>
      </c>
      <c r="N30" s="12"/>
      <c r="O30" s="87" t="s">
        <v>23</v>
      </c>
      <c r="P30" s="88" t="s">
        <v>61</v>
      </c>
      <c r="Q30" s="7"/>
      <c r="R30" s="94" t="s">
        <v>22</v>
      </c>
      <c r="S30" s="7"/>
      <c r="T30" s="105"/>
    </row>
    <row r="31" spans="1:20" ht="24.75" customHeight="1" thickBot="1" x14ac:dyDescent="0.3">
      <c r="A31" s="163" t="s">
        <v>10</v>
      </c>
      <c r="B31" s="19">
        <f>IF(B30=Data!$D$4,1,B30+1)</f>
        <v>24</v>
      </c>
      <c r="C31" s="124" t="s">
        <v>18</v>
      </c>
      <c r="D31" s="167" t="s">
        <v>66</v>
      </c>
      <c r="E31" s="12"/>
      <c r="F31" s="143" t="s">
        <v>62</v>
      </c>
      <c r="G31" s="85" t="s">
        <v>68</v>
      </c>
      <c r="H31" s="144" t="s">
        <v>23</v>
      </c>
      <c r="I31" s="12"/>
      <c r="J31" s="90" t="s">
        <v>23</v>
      </c>
      <c r="K31" s="91" t="s">
        <v>23</v>
      </c>
      <c r="L31" s="91" t="s">
        <v>27</v>
      </c>
      <c r="M31" s="92" t="s">
        <v>91</v>
      </c>
      <c r="N31" s="12"/>
      <c r="O31" s="90" t="s">
        <v>17</v>
      </c>
      <c r="P31" s="92" t="s">
        <v>61</v>
      </c>
      <c r="Q31" s="7"/>
      <c r="R31" s="96" t="s">
        <v>23</v>
      </c>
      <c r="S31" s="7"/>
      <c r="T31" s="107"/>
    </row>
    <row r="32" spans="1:20" ht="24.75" customHeight="1" x14ac:dyDescent="0.25">
      <c r="A32" s="162" t="s">
        <v>1</v>
      </c>
      <c r="B32" s="14">
        <f>IF(B31=Data!$D$4,1,B31+1)</f>
        <v>25</v>
      </c>
      <c r="C32" s="122" t="s">
        <v>3</v>
      </c>
      <c r="D32" s="166" t="s">
        <v>72</v>
      </c>
      <c r="E32" s="12"/>
      <c r="F32" s="152" t="s">
        <v>62</v>
      </c>
      <c r="G32" s="86" t="s">
        <v>93</v>
      </c>
      <c r="H32" s="137" t="s">
        <v>23</v>
      </c>
      <c r="I32" s="12"/>
      <c r="J32" s="99" t="s">
        <v>23</v>
      </c>
      <c r="K32" s="97" t="s">
        <v>65</v>
      </c>
      <c r="L32" s="97" t="s">
        <v>27</v>
      </c>
      <c r="M32" s="100" t="s">
        <v>26</v>
      </c>
      <c r="N32" s="12"/>
      <c r="O32" s="99" t="s">
        <v>17</v>
      </c>
      <c r="P32" s="100" t="s">
        <v>61</v>
      </c>
      <c r="Q32" s="52"/>
      <c r="R32" s="93" t="s">
        <v>23</v>
      </c>
      <c r="S32" s="52"/>
      <c r="T32" s="104"/>
    </row>
    <row r="33" spans="1:20" ht="24.75" customHeight="1" x14ac:dyDescent="0.25">
      <c r="A33" s="159" t="s">
        <v>2</v>
      </c>
      <c r="B33" s="16">
        <f>IF(B32=Data!$D$4,1,B32+1)</f>
        <v>26</v>
      </c>
      <c r="C33" s="123" t="s">
        <v>18</v>
      </c>
      <c r="D33" s="167" t="s">
        <v>23</v>
      </c>
      <c r="E33" s="12"/>
      <c r="F33" s="140" t="s">
        <v>70</v>
      </c>
      <c r="G33" s="83" t="s">
        <v>23</v>
      </c>
      <c r="H33" s="139" t="s">
        <v>26</v>
      </c>
      <c r="I33" s="12"/>
      <c r="J33" s="87" t="s">
        <v>61</v>
      </c>
      <c r="K33" s="89" t="s">
        <v>65</v>
      </c>
      <c r="L33" s="89" t="s">
        <v>91</v>
      </c>
      <c r="M33" s="88" t="s">
        <v>17</v>
      </c>
      <c r="N33" s="12"/>
      <c r="O33" s="87" t="s">
        <v>23</v>
      </c>
      <c r="P33" s="88" t="s">
        <v>61</v>
      </c>
      <c r="Q33" s="52"/>
      <c r="R33" s="94" t="s">
        <v>58</v>
      </c>
      <c r="S33" s="52"/>
      <c r="T33" s="105"/>
    </row>
    <row r="34" spans="1:20" ht="24.75" customHeight="1" x14ac:dyDescent="0.25">
      <c r="A34" s="159" t="s">
        <v>4</v>
      </c>
      <c r="B34" s="16">
        <f>IF(B33=Data!$D$4,1,B33+1)</f>
        <v>27</v>
      </c>
      <c r="C34" s="123" t="s">
        <v>18</v>
      </c>
      <c r="D34" s="167" t="s">
        <v>23</v>
      </c>
      <c r="E34" s="12"/>
      <c r="F34" s="140" t="s">
        <v>69</v>
      </c>
      <c r="G34" s="83" t="s">
        <v>23</v>
      </c>
      <c r="H34" s="139" t="s">
        <v>26</v>
      </c>
      <c r="I34" s="12"/>
      <c r="J34" s="87" t="s">
        <v>23</v>
      </c>
      <c r="K34" s="89" t="s">
        <v>65</v>
      </c>
      <c r="L34" s="89" t="s">
        <v>61</v>
      </c>
      <c r="M34" s="88" t="s">
        <v>17</v>
      </c>
      <c r="N34" s="12"/>
      <c r="O34" s="87" t="s">
        <v>23</v>
      </c>
      <c r="P34" s="88" t="s">
        <v>91</v>
      </c>
      <c r="Q34" s="52"/>
      <c r="R34" s="94" t="s">
        <v>58</v>
      </c>
      <c r="S34" s="52"/>
      <c r="T34" s="105"/>
    </row>
    <row r="35" spans="1:20" ht="24.75" customHeight="1" x14ac:dyDescent="0.25">
      <c r="A35" s="159" t="s">
        <v>5</v>
      </c>
      <c r="B35" s="16">
        <f>IF(B34=Data!$D$4,1,B34+1)</f>
        <v>28</v>
      </c>
      <c r="C35" s="123" t="s">
        <v>7</v>
      </c>
      <c r="D35" s="167" t="s">
        <v>71</v>
      </c>
      <c r="E35" s="12"/>
      <c r="F35" s="140" t="s">
        <v>23</v>
      </c>
      <c r="G35" s="83" t="s">
        <v>69</v>
      </c>
      <c r="H35" s="139" t="s">
        <v>23</v>
      </c>
      <c r="I35" s="12"/>
      <c r="J35" s="87" t="s">
        <v>26</v>
      </c>
      <c r="K35" s="89" t="s">
        <v>65</v>
      </c>
      <c r="L35" s="89" t="s">
        <v>61</v>
      </c>
      <c r="M35" s="88" t="s">
        <v>17</v>
      </c>
      <c r="N35" s="12"/>
      <c r="O35" s="87" t="s">
        <v>94</v>
      </c>
      <c r="P35" s="88" t="s">
        <v>23</v>
      </c>
      <c r="Q35" s="52"/>
      <c r="R35" s="94" t="s">
        <v>58</v>
      </c>
      <c r="S35" s="52"/>
      <c r="T35" s="105"/>
    </row>
    <row r="36" spans="1:20" ht="24.75" customHeight="1" x14ac:dyDescent="0.25">
      <c r="A36" s="159" t="s">
        <v>6</v>
      </c>
      <c r="B36" s="16">
        <f>IF(B35=Data!$D$4,1,B35+1)</f>
        <v>29</v>
      </c>
      <c r="C36" s="123" t="s">
        <v>9</v>
      </c>
      <c r="D36" s="167" t="s">
        <v>66</v>
      </c>
      <c r="E36" s="12"/>
      <c r="F36" s="140" t="s">
        <v>67</v>
      </c>
      <c r="G36" s="83" t="s">
        <v>87</v>
      </c>
      <c r="H36" s="139" t="s">
        <v>27</v>
      </c>
      <c r="I36" s="12"/>
      <c r="J36" s="87" t="s">
        <v>55</v>
      </c>
      <c r="K36" s="89" t="s">
        <v>65</v>
      </c>
      <c r="L36" s="89" t="s">
        <v>26</v>
      </c>
      <c r="M36" s="88" t="s">
        <v>23</v>
      </c>
      <c r="N36" s="12"/>
      <c r="O36" s="87" t="s">
        <v>17</v>
      </c>
      <c r="P36" s="88" t="s">
        <v>61</v>
      </c>
      <c r="Q36" s="52"/>
      <c r="R36" s="173" t="s">
        <v>22</v>
      </c>
      <c r="S36" s="52"/>
      <c r="T36" s="105"/>
    </row>
    <row r="37" spans="1:20" ht="24.75" customHeight="1" x14ac:dyDescent="0.25">
      <c r="A37" s="159" t="s">
        <v>8</v>
      </c>
      <c r="B37" s="16">
        <f>IF(B36=Data!$D$4,1,B36+1)</f>
        <v>30</v>
      </c>
      <c r="C37" s="123" t="s">
        <v>18</v>
      </c>
      <c r="D37" s="167" t="s">
        <v>69</v>
      </c>
      <c r="E37" s="12"/>
      <c r="F37" s="138" t="s">
        <v>68</v>
      </c>
      <c r="G37" s="83" t="s">
        <v>71</v>
      </c>
      <c r="H37" s="139" t="s">
        <v>17</v>
      </c>
      <c r="I37" s="12"/>
      <c r="J37" s="87" t="s">
        <v>55</v>
      </c>
      <c r="K37" s="89" t="s">
        <v>23</v>
      </c>
      <c r="L37" s="89" t="s">
        <v>23</v>
      </c>
      <c r="M37" s="88" t="s">
        <v>23</v>
      </c>
      <c r="N37" s="12"/>
      <c r="O37" s="87" t="s">
        <v>17</v>
      </c>
      <c r="P37" s="88" t="s">
        <v>68</v>
      </c>
      <c r="Q37" s="52"/>
      <c r="R37" s="94" t="s">
        <v>22</v>
      </c>
      <c r="S37" s="52"/>
      <c r="T37" s="105"/>
    </row>
    <row r="38" spans="1:20" ht="24.75" customHeight="1" thickBot="1" x14ac:dyDescent="0.3">
      <c r="A38" s="163" t="s">
        <v>10</v>
      </c>
      <c r="B38" s="19">
        <f>IF(B37=Data!$D$4,1,B37+1)</f>
        <v>31</v>
      </c>
      <c r="C38" s="124" t="s">
        <v>18</v>
      </c>
      <c r="D38" s="142" t="s">
        <v>66</v>
      </c>
      <c r="E38" s="12"/>
      <c r="F38" s="143" t="s">
        <v>23</v>
      </c>
      <c r="G38" s="85" t="s">
        <v>92</v>
      </c>
      <c r="H38" s="144" t="s">
        <v>58</v>
      </c>
      <c r="I38" s="12"/>
      <c r="J38" s="90" t="s">
        <v>55</v>
      </c>
      <c r="K38" s="91" t="s">
        <v>23</v>
      </c>
      <c r="L38" s="91" t="s">
        <v>61</v>
      </c>
      <c r="M38" s="92" t="s">
        <v>26</v>
      </c>
      <c r="N38" s="12"/>
      <c r="O38" s="90" t="s">
        <v>17</v>
      </c>
      <c r="P38" s="92" t="s">
        <v>23</v>
      </c>
      <c r="Q38" s="52"/>
      <c r="R38" s="96" t="s">
        <v>23</v>
      </c>
      <c r="S38" s="52"/>
      <c r="T38" s="108"/>
    </row>
    <row r="39" spans="1:20" s="8" customFormat="1" ht="9" customHeight="1" x14ac:dyDescent="0.2">
      <c r="A39" s="164"/>
      <c r="B39" s="10"/>
      <c r="D39" s="51">
        <f>COUNTBLANK(D11:D38)</f>
        <v>0</v>
      </c>
      <c r="E39" s="51"/>
      <c r="F39" s="51">
        <f t="shared" ref="F39:M39" si="0">COUNTBLANK(F11:F38)</f>
        <v>0</v>
      </c>
      <c r="G39" s="51">
        <f t="shared" si="0"/>
        <v>0</v>
      </c>
      <c r="H39" s="51">
        <f t="shared" si="0"/>
        <v>0</v>
      </c>
      <c r="I39" s="51"/>
      <c r="J39" s="51">
        <f>COUNTBLANK(J11:J38)</f>
        <v>0</v>
      </c>
      <c r="K39" s="51">
        <f t="shared" si="0"/>
        <v>0</v>
      </c>
      <c r="L39" s="51"/>
      <c r="M39" s="51">
        <f t="shared" si="0"/>
        <v>0</v>
      </c>
      <c r="N39" s="51"/>
      <c r="O39" s="51">
        <f>COUNTBLANK(P11:P38)</f>
        <v>0</v>
      </c>
      <c r="P39" s="51">
        <f>COUNTBLANK(O11:O38)</f>
        <v>0</v>
      </c>
      <c r="Q39" s="51"/>
      <c r="R39" s="51">
        <f>COUNTBLANK(R11:R38)</f>
        <v>0</v>
      </c>
      <c r="S39" s="51"/>
    </row>
    <row r="40" spans="1:20" s="8" customFormat="1" ht="15.75" customHeight="1" x14ac:dyDescent="0.2">
      <c r="A40" s="164"/>
    </row>
    <row r="41" spans="1:20" s="8" customFormat="1" ht="15.75" customHeight="1" x14ac:dyDescent="0.2">
      <c r="A41" s="164"/>
    </row>
    <row r="42" spans="1:20" s="8" customFormat="1" ht="15.75" customHeight="1" x14ac:dyDescent="0.2">
      <c r="A42" s="164"/>
    </row>
    <row r="43" spans="1:20" s="8" customFormat="1" ht="15.75" customHeight="1" x14ac:dyDescent="0.2">
      <c r="A43" s="164"/>
    </row>
  </sheetData>
  <mergeCells count="5">
    <mergeCell ref="D1:P1"/>
    <mergeCell ref="J2:M2"/>
    <mergeCell ref="A3:C3"/>
    <mergeCell ref="O2:P2"/>
    <mergeCell ref="F2:H2"/>
  </mergeCells>
  <phoneticPr fontId="15" type="noConversion"/>
  <conditionalFormatting sqref="D4:P38 R4:R38">
    <cfRule type="cellIs" dxfId="26" priority="354" operator="equal">
      <formula>"VAC"</formula>
    </cfRule>
    <cfRule type="expression" dxfId="25" priority="355">
      <formula>OR(ISNUMBER(SEARCH("STAT",D4)), ISNUMBER(SEARCH("EOM",D4)), ISNUMBER(SEARCH("TO",D4)), ISNUMBER(SEARCH("SCH",D4)), ISNUMBER(SEARCH("INV",D4)))</formula>
    </cfRule>
    <cfRule type="cellIs" dxfId="24" priority="356" operator="equal">
      <formula>"PTO"</formula>
    </cfRule>
    <cfRule type="cellIs" dxfId="23" priority="357" operator="equal">
      <formula>"OFF"</formula>
    </cfRule>
    <cfRule type="expression" dxfId="22" priority="358">
      <formula>#REF!=D$3</formula>
    </cfRule>
    <cfRule type="expression" dxfId="21" priority="359">
      <formula>#REF!=D$3</formula>
    </cfRule>
    <cfRule type="expression" dxfId="20" priority="360">
      <formula>#REF!=D$3</formula>
    </cfRule>
    <cfRule type="expression" dxfId="19" priority="361">
      <formula>#REF!=D$3</formula>
    </cfRule>
  </conditionalFormatting>
  <conditionalFormatting sqref="D39:S39">
    <cfRule type="cellIs" dxfId="18" priority="171" operator="greaterThan">
      <formula>0</formula>
    </cfRule>
  </conditionalFormatting>
  <pageMargins left="0.25" right="0.25" top="0.25" bottom="0.25" header="0.3" footer="0.3"/>
  <pageSetup scale="59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Q56"/>
  <sheetViews>
    <sheetView showGridLines="0" topLeftCell="A13" workbookViewId="0">
      <selection activeCell="R10" sqref="R10"/>
    </sheetView>
  </sheetViews>
  <sheetFormatPr defaultColWidth="12.5703125" defaultRowHeight="15.75" customHeight="1" x14ac:dyDescent="0.2"/>
  <cols>
    <col min="1" max="1" width="7.42578125" customWidth="1"/>
    <col min="2" max="2" width="6" customWidth="1"/>
    <col min="3" max="3" width="7.140625" customWidth="1"/>
    <col min="4" max="4" width="11" customWidth="1"/>
    <col min="5" max="5" width="1" customWidth="1"/>
    <col min="6" max="8" width="11" customWidth="1"/>
    <col min="9" max="9" width="1.140625" customWidth="1"/>
    <col min="10" max="10" width="9.5703125" customWidth="1"/>
    <col min="11" max="11" width="1.140625" customWidth="1"/>
    <col min="12" max="12" width="9.140625" style="5" customWidth="1"/>
    <col min="13" max="13" width="9.7109375" style="5" customWidth="1"/>
    <col min="14" max="14" width="9.140625" style="5" customWidth="1"/>
    <col min="15" max="15" width="9.5703125" style="5" customWidth="1"/>
    <col min="16" max="16" width="1.28515625" customWidth="1"/>
    <col min="17" max="17" width="28.28515625" customWidth="1"/>
  </cols>
  <sheetData>
    <row r="1" spans="1:17" ht="30" customHeight="1" thickBot="1" x14ac:dyDescent="0.25">
      <c r="D1" s="175" t="s">
        <v>53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</row>
    <row r="2" spans="1:17" ht="33" customHeight="1" thickBot="1" x14ac:dyDescent="0.3">
      <c r="A2" s="51"/>
      <c r="B2" s="51">
        <v>2025</v>
      </c>
      <c r="C2" s="3"/>
      <c r="D2" s="11" t="s">
        <v>28</v>
      </c>
      <c r="E2" s="26"/>
      <c r="F2" s="188" t="s">
        <v>20</v>
      </c>
      <c r="G2" s="184"/>
      <c r="H2" s="185"/>
      <c r="I2" s="23"/>
      <c r="J2" s="189" t="s">
        <v>15</v>
      </c>
      <c r="K2" s="2"/>
      <c r="L2" s="191" t="s">
        <v>11</v>
      </c>
      <c r="M2" s="192"/>
      <c r="N2" s="192"/>
      <c r="O2" s="193"/>
      <c r="P2" s="2"/>
      <c r="Q2" s="1" t="s">
        <v>18</v>
      </c>
    </row>
    <row r="3" spans="1:17" ht="22.9" customHeight="1" thickBot="1" x14ac:dyDescent="0.3">
      <c r="A3" s="179">
        <v>45689</v>
      </c>
      <c r="B3" s="180"/>
      <c r="C3" s="194"/>
      <c r="D3" s="127" t="s">
        <v>29</v>
      </c>
      <c r="E3" s="21" t="s">
        <v>19</v>
      </c>
      <c r="F3" s="56" t="s">
        <v>45</v>
      </c>
      <c r="G3" s="57" t="s">
        <v>30</v>
      </c>
      <c r="H3" s="58" t="s">
        <v>31</v>
      </c>
      <c r="I3" s="24" t="s">
        <v>19</v>
      </c>
      <c r="J3" s="190"/>
      <c r="K3" s="4"/>
      <c r="L3" s="59" t="s">
        <v>13</v>
      </c>
      <c r="M3" s="60" t="s">
        <v>12</v>
      </c>
      <c r="N3" s="61" t="s">
        <v>21</v>
      </c>
      <c r="O3" s="62" t="s">
        <v>14</v>
      </c>
      <c r="P3" s="4"/>
      <c r="Q3" s="128" t="s">
        <v>0</v>
      </c>
    </row>
    <row r="4" spans="1:17" ht="21.6" customHeight="1" x14ac:dyDescent="0.25">
      <c r="A4" s="13" t="s">
        <v>1</v>
      </c>
      <c r="B4" s="14">
        <v>26</v>
      </c>
      <c r="C4" s="33" t="s">
        <v>3</v>
      </c>
      <c r="D4" s="126" t="str" cm="1">
        <f t="array" ref="D4:D38">IF('Manager Schedule'!$D$4:$D$38="","",'Manager Schedule'!$D$4:$D$38)</f>
        <v>10-7 Admin</v>
      </c>
      <c r="E4" s="12"/>
      <c r="F4" s="147" t="str" cm="1">
        <f t="array" ref="F4:F38">IF('Manager Schedule'!$F$4:$F$38="","",'Manager Schedule'!$F$4:$F$38)</f>
        <v>VAC</v>
      </c>
      <c r="G4" s="148" t="e" cm="1">
        <f t="array" ref="G4">IF('Manager Schedule'!#REF!="","",'Manager Schedule'!#REF!)</f>
        <v>#REF!</v>
      </c>
      <c r="H4" s="149" t="e" cm="1">
        <f t="array" ref="H4">IF('Manager Schedule'!#REF!="","",'Manager Schedule'!#REF!)</f>
        <v>#REF!</v>
      </c>
      <c r="I4" s="12"/>
      <c r="J4" s="69" cm="1">
        <f t="array" ref="J4">COUNTA(D4:I4) - SUM(COUNTIF(D4:I4, {"-","OFF","BDAY","VAC","PTO","Closed"}))</f>
        <v>3</v>
      </c>
      <c r="K4" s="7"/>
      <c r="L4" s="72" t="e">
        <f>IF(#REF!="","",#REF!)</f>
        <v>#REF!</v>
      </c>
      <c r="M4" s="76" t="e">
        <f>IF(#REF!="","",#REF!)</f>
        <v>#REF!</v>
      </c>
      <c r="N4" s="76" t="e">
        <f>IF(#REF!="","",#REF!)</f>
        <v>#REF!</v>
      </c>
      <c r="O4" s="77" t="e">
        <f>IF(#REF!="","",#REF!)</f>
        <v>#REF!</v>
      </c>
      <c r="P4" s="7"/>
      <c r="Q4" s="129" t="str" cm="1">
        <f t="array" ref="Q4:Q38">IF(Table5[Reminders]="", "", Table5[Reminders])</f>
        <v/>
      </c>
    </row>
    <row r="5" spans="1:17" ht="21.6" customHeight="1" x14ac:dyDescent="0.25">
      <c r="A5" s="15" t="s">
        <v>2</v>
      </c>
      <c r="B5" s="16">
        <f>IF(B4=Data!$D$4,1,B4+1)</f>
        <v>27</v>
      </c>
      <c r="C5" s="34"/>
      <c r="D5" s="130" t="str">
        <v>7-4 SCH</v>
      </c>
      <c r="E5" s="12"/>
      <c r="F5" s="140" t="str">
        <v>VAC</v>
      </c>
      <c r="G5" s="82"/>
      <c r="H5" s="139"/>
      <c r="I5" s="12"/>
      <c r="J5" s="70" cm="1">
        <f t="array" ref="J5">COUNTA(D5:I5) - SUM(COUNTIF(D5:I5, {"-","OFF","BDAY","VAC","PTO","Closed"}))</f>
        <v>1</v>
      </c>
      <c r="K5" s="7"/>
      <c r="L5" s="74" t="e">
        <f>IF(#REF!="","",#REF!)</f>
        <v>#REF!</v>
      </c>
      <c r="M5" s="78" t="e">
        <f>IF(#REF!="","",#REF!)</f>
        <v>#REF!</v>
      </c>
      <c r="N5" s="78" t="e">
        <f>IF(#REF!="","",#REF!)</f>
        <v>#REF!</v>
      </c>
      <c r="O5" s="79" t="e">
        <f>IF(#REF!="","",#REF!)</f>
        <v>#REF!</v>
      </c>
      <c r="P5" s="7"/>
      <c r="Q5" s="131" t="str">
        <v>7 Day Sales</v>
      </c>
    </row>
    <row r="6" spans="1:17" ht="21.6" customHeight="1" x14ac:dyDescent="0.25">
      <c r="A6" s="15" t="s">
        <v>4</v>
      </c>
      <c r="B6" s="16">
        <f>IF(B5=Data!$D$4,1,B5+1)</f>
        <v>28</v>
      </c>
      <c r="C6" s="34"/>
      <c r="D6" s="130" t="str">
        <v>-</v>
      </c>
      <c r="E6" s="12"/>
      <c r="F6" s="140" t="str">
        <v>VAC</v>
      </c>
      <c r="G6" s="82"/>
      <c r="H6" s="139"/>
      <c r="I6" s="12"/>
      <c r="J6" s="70" cm="1">
        <f t="array" ref="J6">COUNTA(D6:I6) - SUM(COUNTIF(D6:I6, {"-","OFF","BDAY","VAC","PTO","Closed"}))</f>
        <v>0</v>
      </c>
      <c r="K6" s="7"/>
      <c r="L6" s="74" t="e">
        <f>IF(#REF!="","",#REF!)</f>
        <v>#REF!</v>
      </c>
      <c r="M6" s="78" t="e">
        <f>IF(#REF!="","",#REF!)</f>
        <v>#REF!</v>
      </c>
      <c r="N6" s="78" t="e">
        <f>IF(#REF!="","",#REF!)</f>
        <v>#REF!</v>
      </c>
      <c r="O6" s="79" t="e">
        <f>IF(#REF!="","",#REF!)</f>
        <v>#REF!</v>
      </c>
      <c r="P6" s="7"/>
      <c r="Q6" s="131" t="str">
        <v/>
      </c>
    </row>
    <row r="7" spans="1:17" ht="21.6" customHeight="1" x14ac:dyDescent="0.25">
      <c r="A7" s="15" t="s">
        <v>5</v>
      </c>
      <c r="B7" s="16">
        <v>29</v>
      </c>
      <c r="C7" s="34" t="s">
        <v>7</v>
      </c>
      <c r="D7" s="130" t="str">
        <v>11-8</v>
      </c>
      <c r="E7" s="12"/>
      <c r="F7" s="140" t="str">
        <v>VAC</v>
      </c>
      <c r="G7" s="83"/>
      <c r="H7" s="139"/>
      <c r="I7" s="12"/>
      <c r="J7" s="70" cm="1">
        <f t="array" ref="J7">COUNTA(D7:I7) - SUM(COUNTIF(D7:I7, {"-","OFF","BDAY","VAC","PTO","Closed"}))</f>
        <v>1</v>
      </c>
      <c r="K7" s="7"/>
      <c r="L7" s="74" t="e">
        <f>IF(#REF!="","",#REF!)</f>
        <v>#REF!</v>
      </c>
      <c r="M7" s="78" t="e">
        <f>IF(#REF!="","",#REF!)</f>
        <v>#REF!</v>
      </c>
      <c r="N7" s="78" t="e">
        <f>IF(#REF!="","",#REF!)</f>
        <v>#REF!</v>
      </c>
      <c r="O7" s="79" t="e">
        <f>IF(#REF!="","",#REF!)</f>
        <v>#REF!</v>
      </c>
      <c r="P7" s="7"/>
      <c r="Q7" s="132" t="str">
        <v>CLOSE EARLY @ 8 pm</v>
      </c>
    </row>
    <row r="8" spans="1:17" ht="21.6" customHeight="1" x14ac:dyDescent="0.25">
      <c r="A8" s="15" t="s">
        <v>6</v>
      </c>
      <c r="B8" s="16">
        <v>30</v>
      </c>
      <c r="C8" s="34" t="s">
        <v>9</v>
      </c>
      <c r="D8" s="130" t="str">
        <v>-</v>
      </c>
      <c r="E8" s="12"/>
      <c r="F8" s="138" t="str">
        <v>Op-4 EOM</v>
      </c>
      <c r="G8" s="83"/>
      <c r="H8" s="139"/>
      <c r="I8" s="12"/>
      <c r="J8" s="70" cm="1">
        <f t="array" ref="J8">COUNTA(D8:I8) - SUM(COUNTIF(D8:I8, {"-","OFF","BDAY","VAC","PTO","Closed"}))</f>
        <v>1</v>
      </c>
      <c r="K8" s="7"/>
      <c r="L8" s="74" t="e">
        <f>IF(#REF!="","",#REF!)</f>
        <v>#REF!</v>
      </c>
      <c r="M8" s="78" t="e">
        <f>IF(#REF!="","",#REF!)</f>
        <v>#REF!</v>
      </c>
      <c r="N8" s="78" t="e">
        <f>IF(#REF!="","",#REF!)</f>
        <v>#REF!</v>
      </c>
      <c r="O8" s="79" t="e">
        <f>IF(#REF!="","",#REF!)</f>
        <v>#REF!</v>
      </c>
      <c r="P8" s="7"/>
      <c r="Q8" s="131" t="str">
        <v>OPEN LATE @8am / EOM / 7 Day Sales</v>
      </c>
    </row>
    <row r="9" spans="1:17" ht="21.6" customHeight="1" x14ac:dyDescent="0.25">
      <c r="A9" s="17" t="s">
        <v>8</v>
      </c>
      <c r="B9" s="16">
        <v>31</v>
      </c>
      <c r="C9" s="34"/>
      <c r="D9" s="130" t="str">
        <v>4-CL</v>
      </c>
      <c r="E9" s="12"/>
      <c r="F9" s="138" t="str">
        <v>7-2 R</v>
      </c>
      <c r="G9" s="83"/>
      <c r="H9" s="139"/>
      <c r="I9" s="12"/>
      <c r="J9" s="70" cm="1">
        <f t="array" ref="J9">COUNTA(D9:I9) - SUM(COUNTIF(D9:I9, {"-","OFF","BDAY","VAC","PTO","Closed"}))</f>
        <v>2</v>
      </c>
      <c r="K9" s="7"/>
      <c r="L9" s="74" t="e">
        <f>IF(#REF!="","",#REF!)</f>
        <v>#REF!</v>
      </c>
      <c r="M9" s="78" t="e">
        <f>IF(#REF!="","",#REF!)</f>
        <v>#REF!</v>
      </c>
      <c r="N9" s="78" t="e">
        <f>IF(#REF!="","",#REF!)</f>
        <v>#REF!</v>
      </c>
      <c r="O9" s="79" t="e">
        <f>IF(#REF!="","",#REF!)</f>
        <v>#REF!</v>
      </c>
      <c r="P9" s="7"/>
      <c r="Q9" s="131" t="str">
        <v/>
      </c>
    </row>
    <row r="10" spans="1:17" ht="21.6" customHeight="1" thickBot="1" x14ac:dyDescent="0.3">
      <c r="A10" s="18" t="s">
        <v>10</v>
      </c>
      <c r="B10" s="19">
        <v>1</v>
      </c>
      <c r="C10" s="35"/>
      <c r="D10" s="133" t="str">
        <v>4-CL</v>
      </c>
      <c r="E10" s="12"/>
      <c r="F10" s="143" t="str">
        <v>7-4</v>
      </c>
      <c r="G10" s="85"/>
      <c r="H10" s="144"/>
      <c r="I10" s="12"/>
      <c r="J10" s="71" cm="1">
        <f t="array" ref="J10">COUNTA(D10:I10) - SUM(COUNTIF(D10:I10, {"-","OFF","BDAY","VAC","PTO","Closed"}))</f>
        <v>2</v>
      </c>
      <c r="K10" s="7"/>
      <c r="L10" s="75" t="e">
        <f>IF(#REF!="","",#REF!)</f>
        <v>#REF!</v>
      </c>
      <c r="M10" s="80" t="e">
        <f>IF(#REF!="","",#REF!)</f>
        <v>#REF!</v>
      </c>
      <c r="N10" s="80" t="e">
        <f>IF(#REF!="","",#REF!)</f>
        <v>#REF!</v>
      </c>
      <c r="O10" s="81" t="e">
        <f>IF(#REF!="","",#REF!)</f>
        <v>#REF!</v>
      </c>
      <c r="P10" s="7"/>
      <c r="Q10" s="134" t="str">
        <v/>
      </c>
    </row>
    <row r="11" spans="1:17" ht="21.6" customHeight="1" x14ac:dyDescent="0.25">
      <c r="A11" s="13" t="s">
        <v>1</v>
      </c>
      <c r="B11" s="14">
        <f>IF(B10=Data!$D$4,1,B10+1)</f>
        <v>2</v>
      </c>
      <c r="C11" s="33" t="s">
        <v>3</v>
      </c>
      <c r="D11" s="135" t="str">
        <v>-</v>
      </c>
      <c r="E11" s="12"/>
      <c r="F11" s="136" t="str">
        <v>10-7</v>
      </c>
      <c r="G11" s="84"/>
      <c r="H11" s="137"/>
      <c r="I11" s="12"/>
      <c r="J11" s="69" cm="1">
        <f t="array" ref="J11">COUNTA(D11:I11) - SUM(COUNTIF(D11:I11, {"-","OFF","BDAY","VAC","PTO","Closed"}))</f>
        <v>1</v>
      </c>
      <c r="K11" s="7"/>
      <c r="L11" s="72" t="e">
        <f>IF(#REF!="","",#REF!)</f>
        <v>#REF!</v>
      </c>
      <c r="M11" s="76" t="e">
        <f>IF(#REF!="","",#REF!)</f>
        <v>#REF!</v>
      </c>
      <c r="N11" s="76" t="e">
        <f>IF(#REF!="","",#REF!)</f>
        <v>#REF!</v>
      </c>
      <c r="O11" s="77" t="e">
        <f>IF(#REF!="","",#REF!)</f>
        <v>#REF!</v>
      </c>
      <c r="P11" s="7"/>
      <c r="Q11" s="129" t="str">
        <v/>
      </c>
    </row>
    <row r="12" spans="1:17" ht="21.6" customHeight="1" x14ac:dyDescent="0.25">
      <c r="A12" s="15" t="s">
        <v>2</v>
      </c>
      <c r="B12" s="16">
        <f>IF(B11=Data!$D$4,1,B11+1)</f>
        <v>3</v>
      </c>
      <c r="C12" s="34"/>
      <c r="D12" s="130" t="str">
        <v>-</v>
      </c>
      <c r="E12" s="12"/>
      <c r="F12" s="138" t="str">
        <v>-</v>
      </c>
      <c r="G12" s="82"/>
      <c r="H12" s="139"/>
      <c r="I12" s="12"/>
      <c r="J12" s="70" cm="1">
        <f t="array" ref="J12">COUNTA(D12:I12) - SUM(COUNTIF(D12:I12, {"-","OFF","BDAY","VAC","PTO","Closed"}))</f>
        <v>0</v>
      </c>
      <c r="K12" s="7"/>
      <c r="L12" s="74" t="e">
        <f>IF(#REF!="","",#REF!)</f>
        <v>#REF!</v>
      </c>
      <c r="M12" s="78" t="e">
        <f>IF(#REF!="","",#REF!)</f>
        <v>#REF!</v>
      </c>
      <c r="N12" s="78" t="e">
        <f>IF(#REF!="","",#REF!)</f>
        <v>#REF!</v>
      </c>
      <c r="O12" s="79" t="e">
        <f>IF(#REF!="","",#REF!)</f>
        <v>#REF!</v>
      </c>
      <c r="P12" s="7"/>
      <c r="Q12" s="131" t="str">
        <v/>
      </c>
    </row>
    <row r="13" spans="1:17" ht="21.6" customHeight="1" x14ac:dyDescent="0.25">
      <c r="A13" s="15" t="s">
        <v>4</v>
      </c>
      <c r="B13" s="16">
        <f>IF(B12=Data!$D$4,1,B12+1)</f>
        <v>4</v>
      </c>
      <c r="C13" s="34"/>
      <c r="D13" s="130" t="str">
        <v>9-6</v>
      </c>
      <c r="E13" s="12"/>
      <c r="F13" s="140" t="str">
        <v>7-4 SCH</v>
      </c>
      <c r="G13" s="82"/>
      <c r="H13" s="139"/>
      <c r="I13" s="12"/>
      <c r="J13" s="70" cm="1">
        <f t="array" ref="J13">COUNTA(D13:I13) - SUM(COUNTIF(D13:I13, {"-","OFF","BDAY","VAC","PTO","Closed"}))</f>
        <v>2</v>
      </c>
      <c r="K13" s="7"/>
      <c r="L13" s="74" t="e">
        <f>IF(#REF!="","",#REF!)</f>
        <v>#REF!</v>
      </c>
      <c r="M13" s="78" t="e">
        <f>IF(#REF!="","",#REF!)</f>
        <v>#REF!</v>
      </c>
      <c r="N13" s="78" t="e">
        <f>IF(#REF!="","",#REF!)</f>
        <v>#REF!</v>
      </c>
      <c r="O13" s="79" t="e">
        <f>IF(#REF!="","",#REF!)</f>
        <v>#REF!</v>
      </c>
      <c r="P13" s="7"/>
      <c r="Q13" s="131" t="str">
        <v>RDM</v>
      </c>
    </row>
    <row r="14" spans="1:17" ht="21.6" customHeight="1" x14ac:dyDescent="0.25">
      <c r="A14" s="15" t="s">
        <v>5</v>
      </c>
      <c r="B14" s="16">
        <f>IF(B13=Data!$D$4,1,B13+1)</f>
        <v>5</v>
      </c>
      <c r="C14" s="34" t="s">
        <v>7</v>
      </c>
      <c r="D14" s="130" t="str">
        <v>10-7</v>
      </c>
      <c r="E14" s="12"/>
      <c r="F14" s="140" t="str">
        <v>7-4</v>
      </c>
      <c r="G14" s="83"/>
      <c r="H14" s="141"/>
      <c r="I14" s="12"/>
      <c r="J14" s="70" cm="1">
        <f t="array" ref="J14">COUNTA(D14:I14) - SUM(COUNTIF(D14:I14, {"-","OFF","BDAY","VAC","PTO","Closed"}))</f>
        <v>2</v>
      </c>
      <c r="K14" s="7"/>
      <c r="L14" s="74" t="e">
        <f>IF(#REF!="","",#REF!)</f>
        <v>#REF!</v>
      </c>
      <c r="M14" s="78" t="e">
        <f>IF(#REF!="","",#REF!)</f>
        <v>#REF!</v>
      </c>
      <c r="N14" s="78" t="e">
        <f>IF(#REF!="","",#REF!)</f>
        <v>#REF!</v>
      </c>
      <c r="O14" s="79" t="e">
        <f>IF(#REF!="","",#REF!)</f>
        <v>#REF!</v>
      </c>
      <c r="P14" s="7"/>
      <c r="Q14" s="131" t="str">
        <v/>
      </c>
    </row>
    <row r="15" spans="1:17" ht="21.6" customHeight="1" x14ac:dyDescent="0.25">
      <c r="A15" s="15" t="s">
        <v>6</v>
      </c>
      <c r="B15" s="16">
        <f>IF(B14=Data!$D$4,1,B14+1)</f>
        <v>6</v>
      </c>
      <c r="C15" s="34" t="s">
        <v>9</v>
      </c>
      <c r="D15" s="130" t="str">
        <v>10-7</v>
      </c>
      <c r="E15" s="12"/>
      <c r="F15" s="140" t="str">
        <v>7-4</v>
      </c>
      <c r="G15" s="83"/>
      <c r="H15" s="141"/>
      <c r="I15" s="12"/>
      <c r="J15" s="70" cm="1">
        <f t="array" ref="J15">COUNTA(D15:I15) - SUM(COUNTIF(D15:I15, {"-","OFF","BDAY","VAC","PTO","Closed"}))</f>
        <v>2</v>
      </c>
      <c r="K15" s="7"/>
      <c r="L15" s="74" t="e">
        <f>IF(#REF!="","",#REF!)</f>
        <v>#REF!</v>
      </c>
      <c r="M15" s="78" t="e">
        <f>IF(#REF!="","",#REF!)</f>
        <v>#REF!</v>
      </c>
      <c r="N15" s="78" t="e">
        <f>IF(#REF!="","",#REF!)</f>
        <v>#REF!</v>
      </c>
      <c r="O15" s="79" t="e">
        <f>IF(#REF!="","",#REF!)</f>
        <v>#REF!</v>
      </c>
      <c r="P15" s="7"/>
      <c r="Q15" s="131" t="str">
        <v/>
      </c>
    </row>
    <row r="16" spans="1:17" ht="21.6" customHeight="1" x14ac:dyDescent="0.25">
      <c r="A16" s="17" t="s">
        <v>8</v>
      </c>
      <c r="B16" s="16">
        <f>IF(B15=Data!$D$4,1,B15+1)</f>
        <v>7</v>
      </c>
      <c r="C16" s="34"/>
      <c r="D16" s="130" t="str">
        <v>8-5</v>
      </c>
      <c r="E16" s="12"/>
      <c r="F16" s="138" t="str">
        <v>7-2 R</v>
      </c>
      <c r="G16" s="83"/>
      <c r="H16" s="141"/>
      <c r="I16" s="12"/>
      <c r="J16" s="70" cm="1">
        <f t="array" ref="J16">COUNTA(D16:I16) - SUM(COUNTIF(D16:I16, {"-","OFF","BDAY","VAC","PTO","Closed"}))</f>
        <v>2</v>
      </c>
      <c r="K16" s="7"/>
      <c r="L16" s="74" t="e">
        <f>IF(#REF!="","",#REF!)</f>
        <v>#REF!</v>
      </c>
      <c r="M16" s="78" t="e">
        <f>IF(#REF!="","",#REF!)</f>
        <v>#REF!</v>
      </c>
      <c r="N16" s="78" t="e">
        <f>IF(#REF!="","",#REF!)</f>
        <v>#REF!</v>
      </c>
      <c r="O16" s="79" t="e">
        <f>IF(#REF!="","",#REF!)</f>
        <v>#REF!</v>
      </c>
      <c r="P16" s="7"/>
      <c r="Q16" s="131" t="str">
        <v/>
      </c>
    </row>
    <row r="17" spans="1:17" ht="21.6" customHeight="1" thickBot="1" x14ac:dyDescent="0.3">
      <c r="A17" s="18" t="s">
        <v>10</v>
      </c>
      <c r="B17" s="19">
        <f>IF(B16=Data!$D$4,1,B16+1)</f>
        <v>8</v>
      </c>
      <c r="C17" s="35"/>
      <c r="D17" s="142" t="str">
        <v>8-5</v>
      </c>
      <c r="E17" s="12"/>
      <c r="F17" s="143" t="str">
        <v>OFF</v>
      </c>
      <c r="G17" s="85"/>
      <c r="H17" s="144"/>
      <c r="I17" s="12"/>
      <c r="J17" s="71" cm="1">
        <f t="array" ref="J17">COUNTA(D17:I17) - SUM(COUNTIF(D17:I17, {"-","OFF","BDAY","VAC","PTO","Closed"}))</f>
        <v>1</v>
      </c>
      <c r="K17" s="7"/>
      <c r="L17" s="75" t="e">
        <f>IF(#REF!="","",#REF!)</f>
        <v>#REF!</v>
      </c>
      <c r="M17" s="80" t="e">
        <f>IF(#REF!="","",#REF!)</f>
        <v>#REF!</v>
      </c>
      <c r="N17" s="80" t="e">
        <f>IF(#REF!="","",#REF!)</f>
        <v>#REF!</v>
      </c>
      <c r="O17" s="81" t="e">
        <f>IF(#REF!="","",#REF!)</f>
        <v>#REF!</v>
      </c>
      <c r="P17" s="7"/>
      <c r="Q17" s="134" t="str">
        <v/>
      </c>
    </row>
    <row r="18" spans="1:17" ht="21.6" customHeight="1" x14ac:dyDescent="0.25">
      <c r="A18" s="13" t="s">
        <v>1</v>
      </c>
      <c r="B18" s="14">
        <f>IF(B17=Data!$D$4,1,B17+1)</f>
        <v>9</v>
      </c>
      <c r="C18" s="33" t="s">
        <v>3</v>
      </c>
      <c r="D18" s="135" t="str">
        <v>10-7 Admin</v>
      </c>
      <c r="E18" s="12"/>
      <c r="F18" s="136" t="str">
        <v>7-4</v>
      </c>
      <c r="G18" s="84"/>
      <c r="H18" s="137"/>
      <c r="I18" s="12"/>
      <c r="J18" s="69" cm="1">
        <f t="array" ref="J18">COUNTA(D18:I18) - SUM(COUNTIF(D18:I18, {"-","OFF","BDAY","VAC","PTO","Closed"}))</f>
        <v>2</v>
      </c>
      <c r="K18" s="7"/>
      <c r="L18" s="72" t="e">
        <f>IF(#REF!="","",#REF!)</f>
        <v>#REF!</v>
      </c>
      <c r="M18" s="76" t="e">
        <f>IF(#REF!="","",#REF!)</f>
        <v>#REF!</v>
      </c>
      <c r="N18" s="76" t="e">
        <f>IF(#REF!="","",#REF!)</f>
        <v>#REF!</v>
      </c>
      <c r="O18" s="77" t="e">
        <f>IF(#REF!="","",#REF!)</f>
        <v>#REF!</v>
      </c>
      <c r="P18" s="7"/>
      <c r="Q18" s="129" t="str">
        <v/>
      </c>
    </row>
    <row r="19" spans="1:17" ht="21.6" customHeight="1" x14ac:dyDescent="0.25">
      <c r="A19" s="15" t="s">
        <v>2</v>
      </c>
      <c r="B19" s="16">
        <f>IF(B18=Data!$D$4,1,B18+1)</f>
        <v>10</v>
      </c>
      <c r="C19" s="34"/>
      <c r="D19" s="130" t="str">
        <v>-</v>
      </c>
      <c r="E19" s="12"/>
      <c r="F19" s="138" t="str">
        <v>7-4 SCH</v>
      </c>
      <c r="G19" s="82"/>
      <c r="H19" s="139"/>
      <c r="I19" s="12"/>
      <c r="J19" s="70" cm="1">
        <f t="array" ref="J19">COUNTA(D19:I19) - SUM(COUNTIF(D19:I19, {"-","OFF","BDAY","VAC","PTO","Closed"}))</f>
        <v>1</v>
      </c>
      <c r="K19" s="7"/>
      <c r="L19" s="74" t="e">
        <f>IF(#REF!="","",#REF!)</f>
        <v>#REF!</v>
      </c>
      <c r="M19" s="78" t="e">
        <f>IF(#REF!="","",#REF!)</f>
        <v>#REF!</v>
      </c>
      <c r="N19" s="78" t="e">
        <f>IF(#REF!="","",#REF!)</f>
        <v>#REF!</v>
      </c>
      <c r="O19" s="79" t="e">
        <f>IF(#REF!="","",#REF!)</f>
        <v>#REF!</v>
      </c>
      <c r="P19" s="7"/>
      <c r="Q19" s="131" t="str">
        <v>Manager Meeting @ 2pm</v>
      </c>
    </row>
    <row r="20" spans="1:17" ht="21.6" customHeight="1" x14ac:dyDescent="0.25">
      <c r="A20" s="15" t="s">
        <v>4</v>
      </c>
      <c r="B20" s="16">
        <f>IF(B19=Data!$D$4,1,B19+1)</f>
        <v>11</v>
      </c>
      <c r="C20" s="34"/>
      <c r="D20" s="130" t="str">
        <v>-</v>
      </c>
      <c r="E20" s="12"/>
      <c r="F20" s="140" t="str">
        <v>10-7</v>
      </c>
      <c r="G20" s="83"/>
      <c r="H20" s="139"/>
      <c r="I20" s="12"/>
      <c r="J20" s="70" cm="1">
        <f t="array" ref="J20">COUNTA(D20:I20) - SUM(COUNTIF(D20:I20, {"-","OFF","BDAY","VAC","PTO","Closed"}))</f>
        <v>1</v>
      </c>
      <c r="K20" s="7"/>
      <c r="L20" s="74" t="e">
        <f>IF(#REF!="","",#REF!)</f>
        <v>#REF!</v>
      </c>
      <c r="M20" s="78" t="e">
        <f>IF(#REF!="","",#REF!)</f>
        <v>#REF!</v>
      </c>
      <c r="N20" s="78" t="e">
        <f>IF(#REF!="","",#REF!)</f>
        <v>#REF!</v>
      </c>
      <c r="O20" s="79" t="e">
        <f>IF(#REF!="","",#REF!)</f>
        <v>#REF!</v>
      </c>
      <c r="P20" s="7"/>
      <c r="Q20" s="131" t="str">
        <v/>
      </c>
    </row>
    <row r="21" spans="1:17" ht="21.6" customHeight="1" x14ac:dyDescent="0.25">
      <c r="A21" s="15" t="s">
        <v>5</v>
      </c>
      <c r="B21" s="16">
        <f>IF(B20=Data!$D$4,1,B20+1)</f>
        <v>12</v>
      </c>
      <c r="C21" s="34" t="s">
        <v>7</v>
      </c>
      <c r="D21" s="130" t="str">
        <v>10-7</v>
      </c>
      <c r="E21" s="12"/>
      <c r="F21" s="140" t="str">
        <v>7-4</v>
      </c>
      <c r="G21" s="83"/>
      <c r="H21" s="139"/>
      <c r="I21" s="12"/>
      <c r="J21" s="70" cm="1">
        <f t="array" ref="J21">COUNTA(D21:I21) - SUM(COUNTIF(D21:I21, {"-","OFF","BDAY","VAC","PTO","Closed"}))</f>
        <v>2</v>
      </c>
      <c r="K21" s="7"/>
      <c r="L21" s="74" t="e">
        <f>IF(#REF!="","",#REF!)</f>
        <v>#REF!</v>
      </c>
      <c r="M21" s="78" t="e">
        <f>IF(#REF!="","",#REF!)</f>
        <v>#REF!</v>
      </c>
      <c r="N21" s="78" t="e">
        <f>IF(#REF!="","",#REF!)</f>
        <v>#REF!</v>
      </c>
      <c r="O21" s="79" t="e">
        <f>IF(#REF!="","",#REF!)</f>
        <v>#REF!</v>
      </c>
      <c r="P21" s="7"/>
      <c r="Q21" s="131" t="str">
        <v/>
      </c>
    </row>
    <row r="22" spans="1:17" ht="21.6" customHeight="1" x14ac:dyDescent="0.25">
      <c r="A22" s="15" t="s">
        <v>6</v>
      </c>
      <c r="B22" s="16">
        <f>IF(B21=Data!$D$4,1,B21+1)</f>
        <v>13</v>
      </c>
      <c r="C22" s="34" t="s">
        <v>9</v>
      </c>
      <c r="D22" s="130" t="str">
        <v>10-7</v>
      </c>
      <c r="E22" s="12"/>
      <c r="F22" s="138" t="str">
        <v>OFF</v>
      </c>
      <c r="G22" s="83"/>
      <c r="H22" s="139"/>
      <c r="I22" s="12"/>
      <c r="J22" s="70" cm="1">
        <f t="array" ref="J22">COUNTA(D22:I22) - SUM(COUNTIF(D22:I22, {"-","OFF","BDAY","VAC","PTO","Closed"}))</f>
        <v>1</v>
      </c>
      <c r="K22" s="7"/>
      <c r="L22" s="74" t="e">
        <f>IF(#REF!="","",#REF!)</f>
        <v>#REF!</v>
      </c>
      <c r="M22" s="78" t="e">
        <f>IF(#REF!="","",#REF!)</f>
        <v>#REF!</v>
      </c>
      <c r="N22" s="78" t="e">
        <f>IF(#REF!="","",#REF!)</f>
        <v>#REF!</v>
      </c>
      <c r="O22" s="79" t="e">
        <f>IF(#REF!="","",#REF!)</f>
        <v>#REF!</v>
      </c>
      <c r="P22" s="7"/>
      <c r="Q22" s="131" t="str">
        <v/>
      </c>
    </row>
    <row r="23" spans="1:17" ht="21.6" customHeight="1" x14ac:dyDescent="0.25">
      <c r="A23" s="17" t="s">
        <v>8</v>
      </c>
      <c r="B23" s="16">
        <f>IF(B22=Data!$D$4,1,B22+1)</f>
        <v>14</v>
      </c>
      <c r="C23" s="34"/>
      <c r="D23" s="130" t="str">
        <v>8-5</v>
      </c>
      <c r="E23" s="12"/>
      <c r="F23" s="138" t="str">
        <v>OFF</v>
      </c>
      <c r="G23" s="83"/>
      <c r="H23" s="139"/>
      <c r="I23" s="12"/>
      <c r="J23" s="70" cm="1">
        <f t="array" ref="J23">COUNTA(D23:I23) - SUM(COUNTIF(D23:I23, {"-","OFF","BDAY","VAC","PTO","Closed"}))</f>
        <v>1</v>
      </c>
      <c r="K23" s="7"/>
      <c r="L23" s="74" t="e">
        <f>IF(#REF!="","",#REF!)</f>
        <v>#REF!</v>
      </c>
      <c r="M23" s="78" t="e">
        <f>IF(#REF!="","",#REF!)</f>
        <v>#REF!</v>
      </c>
      <c r="N23" s="78" t="e">
        <f>IF(#REF!="","",#REF!)</f>
        <v>#REF!</v>
      </c>
      <c r="O23" s="79" t="e">
        <f>IF(#REF!="","",#REF!)</f>
        <v>#REF!</v>
      </c>
      <c r="P23" s="7"/>
      <c r="Q23" s="131" t="str">
        <v/>
      </c>
    </row>
    <row r="24" spans="1:17" ht="21.6" customHeight="1" thickBot="1" x14ac:dyDescent="0.3">
      <c r="A24" s="18" t="s">
        <v>10</v>
      </c>
      <c r="B24" s="19">
        <f>IF(B23=Data!$D$4,1,B23+1)</f>
        <v>15</v>
      </c>
      <c r="C24" s="35"/>
      <c r="D24" s="142" t="str">
        <v>PTO</v>
      </c>
      <c r="E24" s="12"/>
      <c r="F24" s="143" t="str">
        <v>7-4</v>
      </c>
      <c r="G24" s="85"/>
      <c r="H24" s="144"/>
      <c r="I24" s="12"/>
      <c r="J24" s="71" cm="1">
        <f t="array" ref="J24">COUNTA(D24:I24) - SUM(COUNTIF(D24:I24, {"-","OFF","BDAY","VAC","PTO","Closed"}))</f>
        <v>1</v>
      </c>
      <c r="K24" s="7"/>
      <c r="L24" s="75" t="e">
        <f>IF(#REF!="","",#REF!)</f>
        <v>#REF!</v>
      </c>
      <c r="M24" s="80" t="e">
        <f>IF(#REF!="","",#REF!)</f>
        <v>#REF!</v>
      </c>
      <c r="N24" s="80" t="e">
        <f>IF(#REF!="","",#REF!)</f>
        <v>#REF!</v>
      </c>
      <c r="O24" s="81" t="e">
        <f>IF(#REF!="","",#REF!)</f>
        <v>#REF!</v>
      </c>
      <c r="P24" s="7"/>
      <c r="Q24" s="134" t="str">
        <v/>
      </c>
    </row>
    <row r="25" spans="1:17" ht="21.6" customHeight="1" x14ac:dyDescent="0.25">
      <c r="A25" s="13" t="s">
        <v>1</v>
      </c>
      <c r="B25" s="14">
        <f>IF(B24=Data!$D$4,1,B24+1)</f>
        <v>16</v>
      </c>
      <c r="C25" s="33" t="s">
        <v>3</v>
      </c>
      <c r="D25" s="135" t="str">
        <v>11-6</v>
      </c>
      <c r="E25" s="12"/>
      <c r="F25" s="136" t="str">
        <v>Op-11 R</v>
      </c>
      <c r="G25" s="145"/>
      <c r="H25" s="146"/>
      <c r="I25" s="12"/>
      <c r="J25" s="69" cm="1">
        <f t="array" ref="J25">COUNTA(D25:I25) - SUM(COUNTIF(D25:I25, {"-","OFF","BDAY","VAC","PTO","Closed"}))</f>
        <v>2</v>
      </c>
      <c r="K25" s="7"/>
      <c r="L25" s="72" t="e">
        <f>IF(#REF!="","",#REF!)</f>
        <v>#REF!</v>
      </c>
      <c r="M25" s="76" t="e">
        <f>IF(#REF!="","",#REF!)</f>
        <v>#REF!</v>
      </c>
      <c r="N25" s="76" t="e">
        <f>IF(#REF!="","",#REF!)</f>
        <v>#REF!</v>
      </c>
      <c r="O25" s="77" t="e">
        <f>IF(#REF!="","",#REF!)</f>
        <v>#REF!</v>
      </c>
      <c r="P25" s="7"/>
      <c r="Q25" s="129" t="str">
        <v>Christmas Party w/ West 2-7pm</v>
      </c>
    </row>
    <row r="26" spans="1:17" ht="21.6" customHeight="1" x14ac:dyDescent="0.25">
      <c r="A26" s="15" t="s">
        <v>2</v>
      </c>
      <c r="B26" s="16">
        <f>IF(B25=Data!$D$4,1,B25+1)</f>
        <v>17</v>
      </c>
      <c r="C26" s="34"/>
      <c r="D26" s="130" t="str">
        <v>10-7 Admin</v>
      </c>
      <c r="E26" s="12"/>
      <c r="F26" s="138" t="str">
        <v>Op-1</v>
      </c>
      <c r="G26" s="82"/>
      <c r="H26" s="139"/>
      <c r="I26" s="12"/>
      <c r="J26" s="70" cm="1">
        <f t="array" ref="J26">COUNTA(D26:I26) - SUM(COUNTIF(D26:I26, {"-","OFF","BDAY","VAC","PTO","Closed"}))</f>
        <v>2</v>
      </c>
      <c r="K26" s="7"/>
      <c r="L26" s="74" t="e">
        <f>IF(#REF!="","",#REF!)</f>
        <v>#REF!</v>
      </c>
      <c r="M26" s="78" t="e">
        <f>IF(#REF!="","",#REF!)</f>
        <v>#REF!</v>
      </c>
      <c r="N26" s="78" t="e">
        <f>IF(#REF!="","",#REF!)</f>
        <v>#REF!</v>
      </c>
      <c r="O26" s="79" t="e">
        <f>IF(#REF!="","",#REF!)</f>
        <v>#REF!</v>
      </c>
      <c r="P26" s="7"/>
      <c r="Q26" s="131" t="str">
        <v/>
      </c>
    </row>
    <row r="27" spans="1:17" ht="21.6" customHeight="1" x14ac:dyDescent="0.25">
      <c r="A27" s="15" t="s">
        <v>4</v>
      </c>
      <c r="B27" s="16">
        <f>IF(B26=Data!$D$4,1,B26+1)</f>
        <v>18</v>
      </c>
      <c r="C27" s="34"/>
      <c r="D27" s="130" t="str">
        <v>10-7</v>
      </c>
      <c r="E27" s="12"/>
      <c r="F27" s="140" t="str">
        <v>-</v>
      </c>
      <c r="G27" s="83"/>
      <c r="H27" s="139"/>
      <c r="I27" s="12"/>
      <c r="J27" s="70" cm="1">
        <f t="array" ref="J27">COUNTA(D27:I27) - SUM(COUNTIF(D27:I27, {"-","OFF","BDAY","VAC","PTO","Closed"}))</f>
        <v>1</v>
      </c>
      <c r="K27" s="7"/>
      <c r="L27" s="74" t="e">
        <f>IF(#REF!="","",#REF!)</f>
        <v>#REF!</v>
      </c>
      <c r="M27" s="78" t="e">
        <f>IF(#REF!="","",#REF!)</f>
        <v>#REF!</v>
      </c>
      <c r="N27" s="78" t="e">
        <f>IF(#REF!="","",#REF!)</f>
        <v>#REF!</v>
      </c>
      <c r="O27" s="79" t="e">
        <f>IF(#REF!="","",#REF!)</f>
        <v>#REF!</v>
      </c>
      <c r="P27" s="7"/>
      <c r="Q27" s="131" t="str">
        <v>Patch Outing @6</v>
      </c>
    </row>
    <row r="28" spans="1:17" ht="21.6" customHeight="1" x14ac:dyDescent="0.25">
      <c r="A28" s="15" t="s">
        <v>5</v>
      </c>
      <c r="B28" s="16">
        <f>IF(B27=Data!$D$4,1,B27+1)</f>
        <v>19</v>
      </c>
      <c r="C28" s="34" t="s">
        <v>7</v>
      </c>
      <c r="D28" s="130" t="str">
        <v>8-CL DMB</v>
      </c>
      <c r="E28" s="12"/>
      <c r="F28" s="140" t="str">
        <v>7-4 SCH</v>
      </c>
      <c r="G28" s="82"/>
      <c r="H28" s="139"/>
      <c r="I28" s="12"/>
      <c r="J28" s="70" cm="1">
        <f t="array" ref="J28">COUNTA(D28:I28) - SUM(COUNTIF(D28:I28, {"-","OFF","BDAY","VAC","PTO","Closed"}))</f>
        <v>2</v>
      </c>
      <c r="K28" s="7"/>
      <c r="L28" s="74" t="e">
        <f>IF(#REF!="","",#REF!)</f>
        <v>#REF!</v>
      </c>
      <c r="M28" s="78" t="e">
        <f>IF(#REF!="","",#REF!)</f>
        <v>#REF!</v>
      </c>
      <c r="N28" s="78" t="e">
        <f>IF(#REF!="","",#REF!)</f>
        <v>#REF!</v>
      </c>
      <c r="O28" s="79" t="e">
        <f>IF(#REF!="","",#REF!)</f>
        <v>#REF!</v>
      </c>
      <c r="P28" s="7"/>
      <c r="Q28" s="131" t="str">
        <v>Overnight install</v>
      </c>
    </row>
    <row r="29" spans="1:17" ht="21.6" customHeight="1" x14ac:dyDescent="0.25">
      <c r="A29" s="15" t="s">
        <v>6</v>
      </c>
      <c r="B29" s="16">
        <f>IF(B28=Data!$D$4,1,B28+1)</f>
        <v>20</v>
      </c>
      <c r="C29" s="34" t="s">
        <v>9</v>
      </c>
      <c r="D29" s="130" t="str">
        <v>-</v>
      </c>
      <c r="E29" s="12"/>
      <c r="F29" s="138" t="str">
        <v>-</v>
      </c>
      <c r="G29" s="83"/>
      <c r="H29" s="141"/>
      <c r="I29" s="12"/>
      <c r="J29" s="70" cm="1">
        <f t="array" ref="J29">COUNTA(D29:I29) - SUM(COUNTIF(D29:I29, {"-","OFF","BDAY","VAC","PTO","Closed"}))</f>
        <v>0</v>
      </c>
      <c r="K29" s="7"/>
      <c r="L29" s="74" t="e">
        <f>IF(#REF!="","",#REF!)</f>
        <v>#REF!</v>
      </c>
      <c r="M29" s="78" t="e">
        <f>IF(#REF!="","",#REF!)</f>
        <v>#REF!</v>
      </c>
      <c r="N29" s="78" t="e">
        <f>IF(#REF!="","",#REF!)</f>
        <v>#REF!</v>
      </c>
      <c r="O29" s="79" t="e">
        <f>IF(#REF!="","",#REF!)</f>
        <v>#REF!</v>
      </c>
      <c r="P29" s="7"/>
      <c r="Q29" s="131" t="str">
        <v/>
      </c>
    </row>
    <row r="30" spans="1:17" ht="21.6" customHeight="1" x14ac:dyDescent="0.25">
      <c r="A30" s="17" t="s">
        <v>8</v>
      </c>
      <c r="B30" s="16">
        <f>IF(B29=Data!$D$4,1,B29+1)</f>
        <v>21</v>
      </c>
      <c r="C30" s="34"/>
      <c r="D30" s="130" t="str">
        <v>-</v>
      </c>
      <c r="E30" s="12"/>
      <c r="F30" s="138" t="str">
        <v>8-5</v>
      </c>
      <c r="G30" s="83"/>
      <c r="H30" s="139"/>
      <c r="I30" s="12"/>
      <c r="J30" s="70" cm="1">
        <f t="array" ref="J30">COUNTA(D30:I30) - SUM(COUNTIF(D30:I30, {"-","OFF","BDAY","VAC","PTO","Closed"}))</f>
        <v>1</v>
      </c>
      <c r="K30" s="7"/>
      <c r="L30" s="74" t="e">
        <f>IF(#REF!="","",#REF!)</f>
        <v>#REF!</v>
      </c>
      <c r="M30" s="78" t="e">
        <f>IF(#REF!="","",#REF!)</f>
        <v>#REF!</v>
      </c>
      <c r="N30" s="78" t="e">
        <f>IF(#REF!="","",#REF!)</f>
        <v>#REF!</v>
      </c>
      <c r="O30" s="79" t="e">
        <f>IF(#REF!="","",#REF!)</f>
        <v>#REF!</v>
      </c>
      <c r="P30" s="7"/>
      <c r="Q30" s="131" t="str">
        <v/>
      </c>
    </row>
    <row r="31" spans="1:17" ht="21.6" customHeight="1" thickBot="1" x14ac:dyDescent="0.3">
      <c r="A31" s="18" t="s">
        <v>10</v>
      </c>
      <c r="B31" s="19">
        <f>IF(B30=Data!$D$4,1,B30+1)</f>
        <v>22</v>
      </c>
      <c r="C31" s="35"/>
      <c r="D31" s="142" t="str">
        <v>10-7</v>
      </c>
      <c r="E31" s="12"/>
      <c r="F31" s="143" t="str">
        <v>Op-1</v>
      </c>
      <c r="G31" s="85"/>
      <c r="H31" s="144"/>
      <c r="I31" s="12"/>
      <c r="J31" s="71" cm="1">
        <f t="array" ref="J31">COUNTA(D31:I31) - SUM(COUNTIF(D31:I31, {"-","OFF","BDAY","VAC","PTO","Closed"}))</f>
        <v>2</v>
      </c>
      <c r="K31" s="7"/>
      <c r="L31" s="75" t="e">
        <f>IF(#REF!="","",#REF!)</f>
        <v>#REF!</v>
      </c>
      <c r="M31" s="80" t="e">
        <f>IF(#REF!="","",#REF!)</f>
        <v>#REF!</v>
      </c>
      <c r="N31" s="80" t="e">
        <f>IF(#REF!="","",#REF!)</f>
        <v>#REF!</v>
      </c>
      <c r="O31" s="81" t="e">
        <f>IF(#REF!="","",#REF!)</f>
        <v>#REF!</v>
      </c>
      <c r="P31" s="7"/>
      <c r="Q31" s="134" t="str">
        <v/>
      </c>
    </row>
    <row r="32" spans="1:17" ht="21.6" customHeight="1" x14ac:dyDescent="0.25">
      <c r="A32" s="13" t="s">
        <v>1</v>
      </c>
      <c r="B32" s="14">
        <f>IF(B31=Data!$D$4,1,B31+1)</f>
        <v>23</v>
      </c>
      <c r="C32" s="33" t="s">
        <v>3</v>
      </c>
      <c r="D32" s="135" t="str">
        <v>10-7 Admin</v>
      </c>
      <c r="E32" s="12"/>
      <c r="F32" s="136" t="str">
        <v>Op-1</v>
      </c>
      <c r="G32" s="86"/>
      <c r="H32" s="137"/>
      <c r="I32" s="12"/>
      <c r="J32" s="69" cm="1">
        <f t="array" ref="J32">COUNTA(D32:I32) - SUM(COUNTIF(D32:I32, {"-","OFF","BDAY","VAC","PTO","Closed"}))</f>
        <v>2</v>
      </c>
      <c r="K32" s="52"/>
      <c r="L32" s="72" t="e">
        <f>IF(#REF!="","",#REF!)</f>
        <v>#REF!</v>
      </c>
      <c r="M32" s="76" t="e">
        <f>IF(#REF!="","",#REF!)</f>
        <v>#REF!</v>
      </c>
      <c r="N32" s="76" t="e">
        <f>IF(#REF!="","",#REF!)</f>
        <v>#REF!</v>
      </c>
      <c r="O32" s="77" t="e">
        <f>IF(#REF!="","",#REF!)</f>
        <v>#REF!</v>
      </c>
      <c r="P32" s="7"/>
      <c r="Q32" s="129" t="str">
        <v/>
      </c>
    </row>
    <row r="33" spans="1:17" ht="21.6" customHeight="1" x14ac:dyDescent="0.25">
      <c r="A33" s="15" t="s">
        <v>2</v>
      </c>
      <c r="B33" s="16">
        <f>IF(B32=Data!$D$4,1,B32+1)</f>
        <v>24</v>
      </c>
      <c r="C33" s="34"/>
      <c r="D33" s="130" t="str">
        <v>-</v>
      </c>
      <c r="E33" s="12"/>
      <c r="F33" s="138" t="str">
        <v>7-4 SCH</v>
      </c>
      <c r="G33" s="82"/>
      <c r="H33" s="139"/>
      <c r="I33" s="12"/>
      <c r="J33" s="70" cm="1">
        <f t="array" ref="J33">COUNTA(D33:I33) - SUM(COUNTIF(D33:I33, {"-","OFF","BDAY","VAC","PTO","Closed"}))</f>
        <v>1</v>
      </c>
      <c r="K33" s="52"/>
      <c r="L33" s="74" t="e">
        <f>IF(#REF!="","",#REF!)</f>
        <v>#REF!</v>
      </c>
      <c r="M33" s="78" t="e">
        <f>IF(#REF!="","",#REF!)</f>
        <v>#REF!</v>
      </c>
      <c r="N33" s="78" t="e">
        <f>IF(#REF!="","",#REF!)</f>
        <v>#REF!</v>
      </c>
      <c r="O33" s="79" t="e">
        <f>IF(#REF!="","",#REF!)</f>
        <v>#REF!</v>
      </c>
      <c r="P33" s="7"/>
      <c r="Q33" s="131" t="str">
        <v/>
      </c>
    </row>
    <row r="34" spans="1:17" ht="21.6" customHeight="1" x14ac:dyDescent="0.25">
      <c r="A34" s="15" t="s">
        <v>4</v>
      </c>
      <c r="B34" s="16">
        <f>IF(B33=Data!$D$4,1,B33+1)</f>
        <v>25</v>
      </c>
      <c r="C34" s="34"/>
      <c r="D34" s="130" t="str">
        <v>-</v>
      </c>
      <c r="E34" s="12"/>
      <c r="F34" s="138" t="str">
        <v>11-8</v>
      </c>
      <c r="G34" s="82"/>
      <c r="H34" s="139"/>
      <c r="I34" s="12"/>
      <c r="J34" s="70" cm="1">
        <f t="array" ref="J34">COUNTA(D34:I34) - SUM(COUNTIF(D34:I34, {"-","OFF","BDAY","VAC","PTO","Closed"}))</f>
        <v>1</v>
      </c>
      <c r="K34" s="52"/>
      <c r="L34" s="74" t="e">
        <f>IF(#REF!="","",#REF!)</f>
        <v>#REF!</v>
      </c>
      <c r="M34" s="78" t="e">
        <f>IF(#REF!="","",#REF!)</f>
        <v>#REF!</v>
      </c>
      <c r="N34" s="78" t="e">
        <f>IF(#REF!="","",#REF!)</f>
        <v>#REF!</v>
      </c>
      <c r="O34" s="79" t="e">
        <f>IF(#REF!="","",#REF!)</f>
        <v>#REF!</v>
      </c>
      <c r="P34" s="7"/>
      <c r="Q34" s="131" t="str">
        <v/>
      </c>
    </row>
    <row r="35" spans="1:17" ht="21.6" customHeight="1" x14ac:dyDescent="0.25">
      <c r="A35" s="15" t="s">
        <v>5</v>
      </c>
      <c r="B35" s="16">
        <f>IF(B34=Data!$D$4,1,B34+1)</f>
        <v>26</v>
      </c>
      <c r="C35" s="34" t="s">
        <v>7</v>
      </c>
      <c r="D35" s="130" t="str">
        <v>8-5</v>
      </c>
      <c r="E35" s="12"/>
      <c r="F35" s="140" t="str">
        <v>-</v>
      </c>
      <c r="G35" s="83"/>
      <c r="H35" s="139"/>
      <c r="I35" s="12"/>
      <c r="J35" s="70" cm="1">
        <f t="array" ref="J35">COUNTA(D35:I35) - SUM(COUNTIF(D35:I35, {"-","OFF","BDAY","VAC","PTO","Closed"}))</f>
        <v>1</v>
      </c>
      <c r="K35" s="52"/>
      <c r="L35" s="74" t="e">
        <f>IF(#REF!="","",#REF!)</f>
        <v>#REF!</v>
      </c>
      <c r="M35" s="78" t="e">
        <f>IF(#REF!="","",#REF!)</f>
        <v>#REF!</v>
      </c>
      <c r="N35" s="78" t="e">
        <f>IF(#REF!="","",#REF!)</f>
        <v>#REF!</v>
      </c>
      <c r="O35" s="79" t="e">
        <f>IF(#REF!="","",#REF!)</f>
        <v>#REF!</v>
      </c>
      <c r="P35" s="7"/>
      <c r="Q35" s="131" t="str">
        <v/>
      </c>
    </row>
    <row r="36" spans="1:17" ht="21.6" customHeight="1" x14ac:dyDescent="0.25">
      <c r="A36" s="15" t="s">
        <v>6</v>
      </c>
      <c r="B36" s="16">
        <f>IF(B35=Data!$D$4,1,B35+1)</f>
        <v>27</v>
      </c>
      <c r="C36" s="34" t="s">
        <v>9</v>
      </c>
      <c r="D36" s="130" t="str">
        <v>10-7</v>
      </c>
      <c r="E36" s="12"/>
      <c r="F36" s="138" t="str">
        <v>7-4</v>
      </c>
      <c r="G36" s="83"/>
      <c r="H36" s="139"/>
      <c r="I36" s="12"/>
      <c r="J36" s="70" cm="1">
        <f t="array" ref="J36">COUNTA(D36:I36) - SUM(COUNTIF(D36:I36, {"-","OFF","BDAY","VAC","PTO","Closed"}))</f>
        <v>2</v>
      </c>
      <c r="K36" s="52"/>
      <c r="L36" s="74" t="e">
        <f>IF(#REF!="","",#REF!)</f>
        <v>#REF!</v>
      </c>
      <c r="M36" s="78" t="e">
        <f>IF(#REF!="","",#REF!)</f>
        <v>#REF!</v>
      </c>
      <c r="N36" s="78" t="e">
        <f>IF(#REF!="","",#REF!)</f>
        <v>#REF!</v>
      </c>
      <c r="O36" s="79" t="e">
        <f>IF(#REF!="","",#REF!)</f>
        <v>#REF!</v>
      </c>
      <c r="P36" s="7"/>
      <c r="Q36" s="131" t="str">
        <v/>
      </c>
    </row>
    <row r="37" spans="1:17" ht="21.6" customHeight="1" x14ac:dyDescent="0.25">
      <c r="A37" s="17" t="s">
        <v>8</v>
      </c>
      <c r="B37" s="16">
        <f>IF(B36=Data!$D$4,1,B36+1)</f>
        <v>28</v>
      </c>
      <c r="C37" s="34"/>
      <c r="D37" s="130" t="str">
        <v>11-8</v>
      </c>
      <c r="E37" s="12"/>
      <c r="F37" s="138" t="str">
        <v>4-CL</v>
      </c>
      <c r="G37" s="83"/>
      <c r="H37" s="139"/>
      <c r="I37" s="12"/>
      <c r="J37" s="70" cm="1">
        <f t="array" ref="J37">COUNTA(D37:I37) - SUM(COUNTIF(D37:I37, {"-","OFF","BDAY","VAC","PTO","Closed"}))</f>
        <v>2</v>
      </c>
      <c r="K37" s="52"/>
      <c r="L37" s="74" t="e">
        <f>IF(#REF!="","",#REF!)</f>
        <v>#REF!</v>
      </c>
      <c r="M37" s="78" t="e">
        <f>IF(#REF!="","",#REF!)</f>
        <v>#REF!</v>
      </c>
      <c r="N37" s="78" t="e">
        <f>IF(#REF!="","",#REF!)</f>
        <v>#REF!</v>
      </c>
      <c r="O37" s="79" t="e">
        <f>IF(#REF!="","",#REF!)</f>
        <v>#REF!</v>
      </c>
      <c r="P37" s="7"/>
      <c r="Q37" s="131" t="str">
        <v/>
      </c>
    </row>
    <row r="38" spans="1:17" ht="21.6" customHeight="1" thickBot="1" x14ac:dyDescent="0.3">
      <c r="A38" s="18" t="s">
        <v>10</v>
      </c>
      <c r="B38" s="19">
        <f>IF(B37=Data!$D$4,1,B37+1)</f>
        <v>29</v>
      </c>
      <c r="C38" s="35"/>
      <c r="D38" s="133" t="str">
        <v>10-7</v>
      </c>
      <c r="E38" s="12"/>
      <c r="F38" s="143" t="str">
        <v>-</v>
      </c>
      <c r="G38" s="85"/>
      <c r="H38" s="144"/>
      <c r="I38" s="12"/>
      <c r="J38" s="71" cm="1">
        <f t="array" ref="J38">COUNTA(D38:I38) - SUM(COUNTIF(D38:I38, {"-","OFF","BDAY","VAC","PTO","Closed"}))</f>
        <v>1</v>
      </c>
      <c r="K38" s="52"/>
      <c r="L38" s="75" t="e">
        <f>IF(#REF!="","",#REF!)</f>
        <v>#REF!</v>
      </c>
      <c r="M38" s="80" t="e">
        <f>IF(#REF!="","",#REF!)</f>
        <v>#REF!</v>
      </c>
      <c r="N38" s="80" t="e">
        <f>IF(#REF!="","",#REF!)</f>
        <v>#REF!</v>
      </c>
      <c r="O38" s="81" t="e">
        <f>IF(#REF!="","",#REF!)</f>
        <v>#REF!</v>
      </c>
      <c r="P38" s="7"/>
      <c r="Q38" s="134" t="str">
        <v/>
      </c>
    </row>
    <row r="39" spans="1:17" s="8" customFormat="1" ht="9" customHeight="1" thickBot="1" x14ac:dyDescent="0.25">
      <c r="B39" s="10"/>
      <c r="D39" s="51">
        <f t="shared" ref="D39:H39" si="0">COUNTBLANK(D11:D38)</f>
        <v>0</v>
      </c>
      <c r="E39" s="51"/>
      <c r="F39" s="51">
        <f t="shared" si="0"/>
        <v>0</v>
      </c>
      <c r="G39" s="51">
        <f t="shared" si="0"/>
        <v>28</v>
      </c>
      <c r="H39" s="51">
        <f t="shared" si="0"/>
        <v>28</v>
      </c>
      <c r="I39" s="51"/>
      <c r="K39" s="51"/>
      <c r="L39" s="51">
        <f>COUNTBLANK(L11:L38)</f>
        <v>0</v>
      </c>
      <c r="M39" s="51">
        <f>COUNTBLANK(M11:M38)</f>
        <v>0</v>
      </c>
      <c r="N39" s="51">
        <f>COUNTBLANK(N11:N38)</f>
        <v>0</v>
      </c>
      <c r="O39" s="51">
        <f>COUNTBLANK(O11:O38)</f>
        <v>0</v>
      </c>
    </row>
    <row r="40" spans="1:17" s="8" customFormat="1" ht="19.899999999999999" customHeight="1" thickBot="1" x14ac:dyDescent="0.3">
      <c r="D40" s="28" t="s">
        <v>29</v>
      </c>
      <c r="E40" s="21" t="s">
        <v>19</v>
      </c>
      <c r="F40" s="56" t="s">
        <v>45</v>
      </c>
      <c r="G40" s="57" t="s">
        <v>30</v>
      </c>
      <c r="H40" s="58" t="s">
        <v>31</v>
      </c>
      <c r="I40" s="25" t="s">
        <v>19</v>
      </c>
      <c r="J40" s="5"/>
      <c r="L40" s="5" t="s">
        <v>52</v>
      </c>
      <c r="M40" s="5"/>
      <c r="N40" s="5"/>
      <c r="O40" s="5"/>
      <c r="P40" s="5"/>
      <c r="Q40" s="5"/>
    </row>
    <row r="41" spans="1:17" ht="22.9" customHeight="1" thickBot="1" x14ac:dyDescent="0.25">
      <c r="A41" s="195" t="s">
        <v>13</v>
      </c>
      <c r="B41" s="196"/>
      <c r="C41" s="196"/>
      <c r="D41" s="29" cm="1">
        <f t="array" ref="D41">COUNTIF(Open,D$40)</f>
        <v>0</v>
      </c>
      <c r="E41" s="22" cm="1">
        <f t="array" ref="E41">COUNTIF(Open,E$40)</f>
        <v>0</v>
      </c>
      <c r="F41" s="66" cm="1">
        <f t="array" ref="F41">COUNTIF(Open,F$40)</f>
        <v>0</v>
      </c>
      <c r="G41" s="67" cm="1">
        <f t="array" ref="G41">COUNTIF(Open,G$40)</f>
        <v>0</v>
      </c>
      <c r="H41" s="68" cm="1">
        <f t="array" ref="H41">COUNTIF(Open,H$40)</f>
        <v>0</v>
      </c>
      <c r="I41" s="22" cm="1">
        <f t="array" ref="I41">COUNTIF(Open,I$40)</f>
        <v>0</v>
      </c>
      <c r="J41" s="9"/>
      <c r="Q41" s="9"/>
    </row>
    <row r="42" spans="1:17" ht="23.25" customHeight="1" thickBot="1" x14ac:dyDescent="0.25">
      <c r="A42" s="197" t="s">
        <v>12</v>
      </c>
      <c r="B42" s="198"/>
      <c r="C42" s="199"/>
      <c r="D42" s="30" cm="1">
        <f t="array" ref="D42">COUNTIF(Lunch, D$40)</f>
        <v>0</v>
      </c>
      <c r="E42" s="22" cm="1">
        <f t="array" ref="E42">COUNTIF(Lunch, E$40)</f>
        <v>0</v>
      </c>
      <c r="F42" s="45" cm="1">
        <f t="array" ref="F42">COUNTIF(Lunch, F$40)</f>
        <v>0</v>
      </c>
      <c r="G42" s="46" cm="1">
        <f t="array" ref="G42">COUNTIF(Lunch, G$40)</f>
        <v>0</v>
      </c>
      <c r="H42" s="47" cm="1">
        <f t="array" ref="H42">COUNTIF(Lunch, H$40)</f>
        <v>0</v>
      </c>
      <c r="I42" s="22" cm="1">
        <f t="array" ref="I42">COUNTIF(Lunch, I$40)</f>
        <v>0</v>
      </c>
      <c r="J42" s="9"/>
      <c r="Q42" s="9"/>
    </row>
    <row r="43" spans="1:17" ht="22.9" customHeight="1" thickBot="1" x14ac:dyDescent="0.25">
      <c r="A43" s="200" t="s">
        <v>21</v>
      </c>
      <c r="B43" s="201"/>
      <c r="C43" s="202"/>
      <c r="D43" s="30">
        <f t="shared" ref="D43:I43" si="1">COUNTIF(Dinner,D$40)</f>
        <v>0</v>
      </c>
      <c r="E43" s="22">
        <f t="shared" si="1"/>
        <v>0</v>
      </c>
      <c r="F43" s="45">
        <f t="shared" si="1"/>
        <v>0</v>
      </c>
      <c r="G43" s="46">
        <f t="shared" si="1"/>
        <v>0</v>
      </c>
      <c r="H43" s="47">
        <f t="shared" si="1"/>
        <v>0</v>
      </c>
      <c r="I43" s="22">
        <f t="shared" si="1"/>
        <v>0</v>
      </c>
      <c r="J43" s="9"/>
      <c r="Q43" s="9"/>
    </row>
    <row r="44" spans="1:17" ht="22.9" customHeight="1" thickBot="1" x14ac:dyDescent="0.25">
      <c r="A44" s="203" t="s">
        <v>14</v>
      </c>
      <c r="B44" s="204"/>
      <c r="C44" s="204"/>
      <c r="D44" s="31" cm="1">
        <f t="array" ref="D44">COUNTIF(Close, D$40)</f>
        <v>0</v>
      </c>
      <c r="E44" s="22" cm="1">
        <f t="array" ref="E44">COUNTIF(Close, E$40)</f>
        <v>0</v>
      </c>
      <c r="F44" s="48" cm="1">
        <f t="array" ref="F44">COUNTIF(Close, F$40)</f>
        <v>0</v>
      </c>
      <c r="G44" s="49" cm="1">
        <f t="array" ref="G44">COUNTIF(Close, G$40)</f>
        <v>0</v>
      </c>
      <c r="H44" s="50" cm="1">
        <f t="array" ref="H44">COUNTIF(Close, H$40)</f>
        <v>0</v>
      </c>
      <c r="I44" s="22" cm="1">
        <f t="array" ref="I44">COUNTIF(Close, I$40)</f>
        <v>0</v>
      </c>
      <c r="J44" s="9"/>
      <c r="Q44" s="9"/>
    </row>
    <row r="45" spans="1:17" ht="15.75" customHeight="1" thickBot="1" x14ac:dyDescent="0.25">
      <c r="A45" s="186" t="s">
        <v>37</v>
      </c>
      <c r="B45" s="187"/>
      <c r="C45" s="187"/>
      <c r="D45" s="32">
        <f t="shared" ref="D45:I45" si="2">SUM(D41:D44)</f>
        <v>0</v>
      </c>
      <c r="E45" s="22">
        <f t="shared" si="2"/>
        <v>0</v>
      </c>
      <c r="F45" s="39">
        <f t="shared" si="2"/>
        <v>0</v>
      </c>
      <c r="G45" s="40">
        <f t="shared" si="2"/>
        <v>0</v>
      </c>
      <c r="H45" s="41">
        <f t="shared" si="2"/>
        <v>0</v>
      </c>
      <c r="I45" s="22">
        <f t="shared" si="2"/>
        <v>0</v>
      </c>
      <c r="J45" s="9"/>
      <c r="Q45" s="9"/>
    </row>
    <row r="47" spans="1:17" s="8" customFormat="1" ht="15.75" customHeight="1" x14ac:dyDescent="0.2">
      <c r="E47" s="27" t="s">
        <v>18</v>
      </c>
      <c r="L47" s="5"/>
      <c r="M47" s="5"/>
      <c r="N47" s="5"/>
      <c r="O47" s="5"/>
    </row>
    <row r="48" spans="1:17" s="8" customFormat="1" ht="15.75" customHeight="1" x14ac:dyDescent="0.2">
      <c r="L48" s="5"/>
      <c r="M48" s="5"/>
      <c r="N48" s="5"/>
      <c r="O48" s="5"/>
    </row>
    <row r="49" spans="6:15" s="8" customFormat="1" ht="15.75" customHeight="1" x14ac:dyDescent="0.2">
      <c r="L49" s="5"/>
      <c r="M49" s="5"/>
      <c r="N49" s="5"/>
      <c r="O49" s="5"/>
    </row>
    <row r="50" spans="6:15" s="8" customFormat="1" ht="15.75" customHeight="1" x14ac:dyDescent="0.2">
      <c r="L50" s="5"/>
      <c r="M50" s="5"/>
      <c r="N50" s="5"/>
      <c r="O50" s="5"/>
    </row>
    <row r="51" spans="6:15" s="8" customFormat="1" ht="15.75" customHeight="1" x14ac:dyDescent="0.2">
      <c r="L51" s="5"/>
      <c r="M51" s="5"/>
      <c r="N51" s="5"/>
      <c r="O51" s="5"/>
    </row>
    <row r="52" spans="6:15" s="8" customFormat="1" ht="15.75" customHeight="1" x14ac:dyDescent="0.2">
      <c r="L52" s="5"/>
      <c r="M52" s="5"/>
      <c r="N52" s="5"/>
      <c r="O52" s="5"/>
    </row>
    <row r="56" spans="6:15" ht="15.75" customHeight="1" x14ac:dyDescent="0.2">
      <c r="F56" t="s">
        <v>24</v>
      </c>
    </row>
  </sheetData>
  <mergeCells count="10">
    <mergeCell ref="A45:C45"/>
    <mergeCell ref="F2:H2"/>
    <mergeCell ref="J2:J3"/>
    <mergeCell ref="L2:O2"/>
    <mergeCell ref="D1:O1"/>
    <mergeCell ref="A3:C3"/>
    <mergeCell ref="A41:C41"/>
    <mergeCell ref="A42:C42"/>
    <mergeCell ref="A43:C43"/>
    <mergeCell ref="A44:C44"/>
  </mergeCells>
  <conditionalFormatting sqref="D4:I38">
    <cfRule type="cellIs" dxfId="17" priority="244" operator="equal">
      <formula>"PTO"</formula>
    </cfRule>
    <cfRule type="cellIs" dxfId="16" priority="245" operator="equal">
      <formula>"OFF"</formula>
    </cfRule>
    <cfRule type="expression" dxfId="15" priority="246">
      <formula>$L4=D$3</formula>
    </cfRule>
    <cfRule type="expression" dxfId="14" priority="247">
      <formula>$M4=D$3</formula>
    </cfRule>
    <cfRule type="expression" dxfId="13" priority="248">
      <formula>$N4=D$3</formula>
    </cfRule>
    <cfRule type="expression" dxfId="12" priority="249">
      <formula>$O4=D$3</formula>
    </cfRule>
  </conditionalFormatting>
  <conditionalFormatting sqref="D41:I45">
    <cfRule type="cellIs" dxfId="11" priority="2" operator="equal">
      <formula>0</formula>
    </cfRule>
    <cfRule type="cellIs" dxfId="10" priority="3" operator="greaterThan">
      <formula>0</formula>
    </cfRule>
  </conditionalFormatting>
  <conditionalFormatting sqref="D39:O39">
    <cfRule type="cellIs" dxfId="9" priority="1" operator="greaterThan">
      <formula>0</formula>
    </cfRule>
  </conditionalFormatting>
  <pageMargins left="0.25" right="0.25" top="0.25" bottom="0.25" header="0.3" footer="0.3"/>
  <pageSetup scale="59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T52"/>
  <sheetViews>
    <sheetView showGridLines="0" workbookViewId="0">
      <selection activeCell="H7" sqref="H7"/>
    </sheetView>
  </sheetViews>
  <sheetFormatPr defaultColWidth="12.5703125" defaultRowHeight="15.75" customHeight="1" x14ac:dyDescent="0.2"/>
  <cols>
    <col min="1" max="1" width="7.42578125" customWidth="1"/>
    <col min="2" max="2" width="6" customWidth="1"/>
    <col min="3" max="3" width="7.140625" customWidth="1"/>
    <col min="4" max="4" width="11" customWidth="1"/>
    <col min="5" max="5" width="1" customWidth="1"/>
    <col min="6" max="8" width="11.85546875" customWidth="1"/>
    <col min="9" max="9" width="1" customWidth="1"/>
    <col min="10" max="13" width="10.7109375" customWidth="1"/>
    <col min="14" max="14" width="1.140625" customWidth="1"/>
    <col min="15" max="15" width="9.140625" style="5" customWidth="1"/>
    <col min="16" max="16" width="9.7109375" style="5" customWidth="1"/>
    <col min="17" max="17" width="9.140625" style="5" customWidth="1"/>
    <col min="18" max="18" width="9.5703125" style="5" customWidth="1"/>
    <col min="19" max="19" width="1.28515625" customWidth="1"/>
    <col min="20" max="20" width="49.85546875" customWidth="1"/>
  </cols>
  <sheetData>
    <row r="1" spans="1:20" ht="30" customHeight="1" thickBot="1" x14ac:dyDescent="0.25">
      <c r="D1" s="175" t="s">
        <v>53</v>
      </c>
      <c r="E1" s="175"/>
      <c r="F1" s="175"/>
      <c r="G1" s="175"/>
      <c r="H1" s="175"/>
      <c r="I1" s="175"/>
      <c r="J1" s="175"/>
      <c r="K1" s="175"/>
      <c r="L1" s="175"/>
      <c r="M1" s="175"/>
      <c r="O1" s="6"/>
      <c r="P1" s="6"/>
      <c r="Q1" s="6"/>
      <c r="R1" s="6"/>
    </row>
    <row r="2" spans="1:20" ht="33" customHeight="1" thickBot="1" x14ac:dyDescent="0.3">
      <c r="A2" s="51"/>
      <c r="B2" s="51">
        <v>2025</v>
      </c>
      <c r="C2" s="3"/>
      <c r="D2" s="11" t="s">
        <v>28</v>
      </c>
      <c r="E2" s="26"/>
      <c r="F2" s="188" t="s">
        <v>20</v>
      </c>
      <c r="G2" s="184"/>
      <c r="H2" s="185"/>
      <c r="I2" s="26"/>
      <c r="J2" s="181" t="s">
        <v>49</v>
      </c>
      <c r="K2" s="207"/>
      <c r="L2" s="207"/>
      <c r="M2" s="182"/>
      <c r="N2" s="2"/>
      <c r="O2" s="191" t="s">
        <v>11</v>
      </c>
      <c r="P2" s="205"/>
      <c r="Q2" s="205"/>
      <c r="R2" s="206"/>
      <c r="S2" s="2"/>
      <c r="T2" s="1" t="s">
        <v>18</v>
      </c>
    </row>
    <row r="3" spans="1:20" ht="22.9" customHeight="1" thickBot="1" x14ac:dyDescent="0.3">
      <c r="A3" s="179">
        <v>45689</v>
      </c>
      <c r="B3" s="180"/>
      <c r="C3" s="194"/>
      <c r="D3" s="36" t="s">
        <v>29</v>
      </c>
      <c r="E3" s="21" t="s">
        <v>18</v>
      </c>
      <c r="F3" s="56" t="s">
        <v>45</v>
      </c>
      <c r="G3" s="57" t="s">
        <v>30</v>
      </c>
      <c r="H3" s="58" t="s">
        <v>31</v>
      </c>
      <c r="I3" s="21" t="s">
        <v>18</v>
      </c>
      <c r="J3" s="150" t="s">
        <v>35</v>
      </c>
      <c r="K3" s="64" t="s">
        <v>51</v>
      </c>
      <c r="L3" s="64" t="s">
        <v>50</v>
      </c>
      <c r="M3" s="65" t="s">
        <v>54</v>
      </c>
      <c r="N3" s="4"/>
      <c r="O3" s="112" t="s">
        <v>13</v>
      </c>
      <c r="P3" s="113" t="s">
        <v>12</v>
      </c>
      <c r="Q3" s="114" t="s">
        <v>21</v>
      </c>
      <c r="R3" s="115" t="s">
        <v>14</v>
      </c>
      <c r="S3" s="4"/>
      <c r="T3" s="73" t="s">
        <v>56</v>
      </c>
    </row>
    <row r="4" spans="1:20" ht="21.6" customHeight="1" x14ac:dyDescent="0.25">
      <c r="A4" s="13" t="s">
        <v>1</v>
      </c>
      <c r="B4" s="14">
        <v>26</v>
      </c>
      <c r="C4" s="33" t="s">
        <v>3</v>
      </c>
      <c r="D4" s="126" t="str" cm="1">
        <f t="array" ref="D4:D38">IF('Manager Schedule'!$D$4:$D$38="","",'Manager Schedule'!$D$4:$D$38)</f>
        <v>10-7 Admin</v>
      </c>
      <c r="E4" s="12"/>
      <c r="F4" s="147" t="str" cm="1">
        <f t="array" ref="F4:F38">IF('Manager Schedule'!$F$4:$F$38="","",'Manager Schedule'!$F$4:$F$38)</f>
        <v>VAC</v>
      </c>
      <c r="G4" s="148" t="e" cm="1">
        <f t="array" ref="G4">IF('Manager Schedule'!#REF!="","",'Manager Schedule'!#REF!)</f>
        <v>#REF!</v>
      </c>
      <c r="H4" s="149" t="e" cm="1">
        <f t="array" ref="H4">IF('Manager Schedule'!#REF!="","",'Manager Schedule'!#REF!)</f>
        <v>#REF!</v>
      </c>
      <c r="I4" s="12"/>
      <c r="J4" s="151" t="e" cm="1">
        <f t="array" ref="J4">IF(#REF!="","",#REF!)</f>
        <v>#REF!</v>
      </c>
      <c r="K4" s="98" t="e" cm="1">
        <f t="array" ref="K4">IF(#REF!="","",#REF!)</f>
        <v>#REF!</v>
      </c>
      <c r="L4" s="98" t="e" cm="1">
        <f t="array" ref="L4">IF('Manager Schedule'!#REF!="","",'Manager Schedule'!#REF!)</f>
        <v>#REF!</v>
      </c>
      <c r="M4" s="102" t="e" cm="1">
        <f t="array" ref="M4">IF('Manager Schedule'!#REF!="","",'Manager Schedule'!#REF!)</f>
        <v>#REF!</v>
      </c>
      <c r="N4" s="7"/>
      <c r="O4" s="109" t="e">
        <f xml:space="preserve"> IF(OR(#REF!="", ISNUMBER(MATCH(#REF!, {"zoey","sarah","cassandra","waylon"}, 0))), "",#REF!)</f>
        <v>#REF!</v>
      </c>
      <c r="P4" s="117" t="e">
        <f xml:space="preserve"> IF(OR(#REF!="", ISNUMBER(MATCH(#REF!, {"zoey","sarah","cassandra","waylon"}, 0))), "",#REF!)</f>
        <v>#REF!</v>
      </c>
      <c r="Q4" s="117" t="e">
        <f xml:space="preserve"> IF(OR(#REF!="", ISNUMBER(MATCH(#REF!, {"zoey","sarah","cassandra","waylon"}, 0))), "",#REF!)</f>
        <v>#REF!</v>
      </c>
      <c r="R4" s="118" t="e">
        <f xml:space="preserve"> IF(OR(#REF!="", ISNUMBER(MATCH(#REF!, {"zoey","sarah","cassandra","waylon"}, 0))), "",#REF!)</f>
        <v>#REF!</v>
      </c>
      <c r="S4" s="7"/>
      <c r="T4" s="104" t="s">
        <v>57</v>
      </c>
    </row>
    <row r="5" spans="1:20" ht="21.6" customHeight="1" x14ac:dyDescent="0.25">
      <c r="A5" s="15" t="s">
        <v>2</v>
      </c>
      <c r="B5" s="16">
        <f>IF(B4=Data!$D$4,1,B4+1)</f>
        <v>27</v>
      </c>
      <c r="C5" s="34"/>
      <c r="D5" s="94" t="str">
        <v>7-4 SCH</v>
      </c>
      <c r="E5" s="12"/>
      <c r="F5" s="140" t="str">
        <v>VAC</v>
      </c>
      <c r="G5" s="82"/>
      <c r="H5" s="139"/>
      <c r="I5" s="12"/>
      <c r="J5" s="87"/>
      <c r="K5" s="89"/>
      <c r="L5" s="89"/>
      <c r="M5" s="88"/>
      <c r="N5" s="7"/>
      <c r="O5" s="110" t="e">
        <f xml:space="preserve"> IF(OR(#REF!="", ISNUMBER(MATCH(#REF!, {"zoey","sarah","cassandra","waylon"}, 0))), "",#REF!)</f>
        <v>#REF!</v>
      </c>
      <c r="P5" s="116" t="e">
        <f xml:space="preserve"> IF(OR(#REF!="", ISNUMBER(MATCH(#REF!, {"zoey","sarah","cassandra","waylon"}, 0))), "",#REF!)</f>
        <v>#REF!</v>
      </c>
      <c r="Q5" s="116" t="e">
        <f xml:space="preserve"> IF(OR(#REF!="", ISNUMBER(MATCH(#REF!, {"zoey","sarah","cassandra","waylon"}, 0))), "",#REF!)</f>
        <v>#REF!</v>
      </c>
      <c r="R5" s="119" t="e">
        <f xml:space="preserve"> IF(OR(#REF!="", ISNUMBER(MATCH(#REF!, {"zoey","sarah","cassandra","waylon"}, 0))), "",#REF!)</f>
        <v>#REF!</v>
      </c>
      <c r="S5" s="7"/>
      <c r="T5" s="105"/>
    </row>
    <row r="6" spans="1:20" ht="21.6" customHeight="1" x14ac:dyDescent="0.25">
      <c r="A6" s="15" t="s">
        <v>4</v>
      </c>
      <c r="B6" s="16">
        <f>IF(B5=Data!$D$4,1,B5+1)</f>
        <v>28</v>
      </c>
      <c r="C6" s="34"/>
      <c r="D6" s="94" t="str">
        <v>-</v>
      </c>
      <c r="E6" s="12"/>
      <c r="F6" s="140" t="str">
        <v>VAC</v>
      </c>
      <c r="G6" s="82"/>
      <c r="H6" s="139"/>
      <c r="I6" s="12"/>
      <c r="J6" s="87"/>
      <c r="K6" s="89"/>
      <c r="L6" s="89"/>
      <c r="M6" s="88"/>
      <c r="N6" s="7"/>
      <c r="O6" s="110" t="e">
        <f xml:space="preserve"> IF(OR(#REF!="", ISNUMBER(MATCH(#REF!, {"zoey","sarah","cassandra","waylon"}, 0))), "",#REF!)</f>
        <v>#REF!</v>
      </c>
      <c r="P6" s="116" t="e">
        <f xml:space="preserve"> IF(OR(#REF!="", ISNUMBER(MATCH(#REF!, {"zoey","sarah","cassandra","waylon"}, 0))), "",#REF!)</f>
        <v>#REF!</v>
      </c>
      <c r="Q6" s="116" t="e">
        <f xml:space="preserve"> IF(OR(#REF!="", ISNUMBER(MATCH(#REF!, {"zoey","sarah","cassandra","waylon"}, 0))), "",#REF!)</f>
        <v>#REF!</v>
      </c>
      <c r="R6" s="119" t="e">
        <f xml:space="preserve"> IF(OR(#REF!="", ISNUMBER(MATCH(#REF!, {"zoey","sarah","cassandra","waylon"}, 0))), "",#REF!)</f>
        <v>#REF!</v>
      </c>
      <c r="S6" s="7"/>
      <c r="T6" s="105"/>
    </row>
    <row r="7" spans="1:20" ht="21.6" customHeight="1" x14ac:dyDescent="0.25">
      <c r="A7" s="15" t="s">
        <v>5</v>
      </c>
      <c r="B7" s="16">
        <v>29</v>
      </c>
      <c r="C7" s="34" t="s">
        <v>7</v>
      </c>
      <c r="D7" s="94" t="str">
        <v>11-8</v>
      </c>
      <c r="E7" s="12"/>
      <c r="F7" s="140" t="str">
        <v>VAC</v>
      </c>
      <c r="G7" s="83"/>
      <c r="H7" s="139"/>
      <c r="I7" s="12"/>
      <c r="J7" s="87"/>
      <c r="K7" s="89"/>
      <c r="L7" s="89"/>
      <c r="M7" s="88"/>
      <c r="N7" s="7"/>
      <c r="O7" s="110" t="e">
        <f xml:space="preserve"> IF(OR(#REF!="", ISNUMBER(MATCH(#REF!, {"zoey","sarah","cassandra","waylon"}, 0))), "",#REF!)</f>
        <v>#REF!</v>
      </c>
      <c r="P7" s="116" t="e">
        <f xml:space="preserve"> IF(OR(#REF!="", ISNUMBER(MATCH(#REF!, {"zoey","sarah","cassandra","waylon"}, 0))), "",#REF!)</f>
        <v>#REF!</v>
      </c>
      <c r="Q7" s="116" t="e">
        <f xml:space="preserve"> IF(OR(#REF!="", ISNUMBER(MATCH(#REF!, {"zoey","sarah","cassandra","waylon"}, 0))), "",#REF!)</f>
        <v>#REF!</v>
      </c>
      <c r="R7" s="119" t="e">
        <f xml:space="preserve"> IF(OR(#REF!="", ISNUMBER(MATCH(#REF!, {"zoey","sarah","cassandra","waylon"}, 0))), "",#REF!)</f>
        <v>#REF!</v>
      </c>
      <c r="S7" s="7"/>
      <c r="T7" s="106"/>
    </row>
    <row r="8" spans="1:20" ht="21.6" customHeight="1" x14ac:dyDescent="0.25">
      <c r="A8" s="15" t="s">
        <v>6</v>
      </c>
      <c r="B8" s="16">
        <v>30</v>
      </c>
      <c r="C8" s="34" t="s">
        <v>9</v>
      </c>
      <c r="D8" s="94" t="str">
        <v>-</v>
      </c>
      <c r="E8" s="12"/>
      <c r="F8" s="138" t="str">
        <v>Op-4 EOM</v>
      </c>
      <c r="G8" s="83"/>
      <c r="H8" s="139"/>
      <c r="I8" s="12"/>
      <c r="J8" s="87"/>
      <c r="K8" s="89"/>
      <c r="L8" s="89"/>
      <c r="M8" s="88"/>
      <c r="N8" s="7"/>
      <c r="O8" s="110" t="e">
        <f xml:space="preserve"> IF(OR(#REF!="", ISNUMBER(MATCH(#REF!, {"zoey","sarah","cassandra","waylon"}, 0))), "",#REF!)</f>
        <v>#REF!</v>
      </c>
      <c r="P8" s="116" t="e">
        <f xml:space="preserve"> IF(OR(#REF!="", ISNUMBER(MATCH(#REF!, {"zoey","sarah","cassandra","waylon"}, 0))), "",#REF!)</f>
        <v>#REF!</v>
      </c>
      <c r="Q8" s="116" t="e">
        <f xml:space="preserve"> IF(OR(#REF!="", ISNUMBER(MATCH(#REF!, {"zoey","sarah","cassandra","waylon"}, 0))), "",#REF!)</f>
        <v>#REF!</v>
      </c>
      <c r="R8" s="119" t="e">
        <f xml:space="preserve"> IF(OR(#REF!="", ISNUMBER(MATCH(#REF!, {"zoey","sarah","cassandra","waylon"}, 0))), "",#REF!)</f>
        <v>#REF!</v>
      </c>
      <c r="S8" s="7"/>
      <c r="T8" s="105"/>
    </row>
    <row r="9" spans="1:20" ht="21.6" customHeight="1" x14ac:dyDescent="0.25">
      <c r="A9" s="17" t="s">
        <v>8</v>
      </c>
      <c r="B9" s="16">
        <v>31</v>
      </c>
      <c r="C9" s="34"/>
      <c r="D9" s="94" t="str">
        <v>4-CL</v>
      </c>
      <c r="E9" s="12"/>
      <c r="F9" s="138" t="str">
        <v>7-2 R</v>
      </c>
      <c r="G9" s="83"/>
      <c r="H9" s="139"/>
      <c r="I9" s="12"/>
      <c r="J9" s="87"/>
      <c r="K9" s="89"/>
      <c r="L9" s="89"/>
      <c r="M9" s="88"/>
      <c r="N9" s="7"/>
      <c r="O9" s="110" t="e">
        <f xml:space="preserve"> IF(OR(#REF!="", ISNUMBER(MATCH(#REF!, {"zoey","sarah","cassandra","waylon"}, 0))), "",#REF!)</f>
        <v>#REF!</v>
      </c>
      <c r="P9" s="116" t="e">
        <f xml:space="preserve"> IF(OR(#REF!="", ISNUMBER(MATCH(#REF!, {"zoey","sarah","cassandra","waylon"}, 0))), "",#REF!)</f>
        <v>#REF!</v>
      </c>
      <c r="Q9" s="116" t="e">
        <f xml:space="preserve"> IF(OR(#REF!="", ISNUMBER(MATCH(#REF!, {"zoey","sarah","cassandra","waylon"}, 0))), "",#REF!)</f>
        <v>#REF!</v>
      </c>
      <c r="R9" s="119" t="e">
        <f xml:space="preserve"> IF(OR(#REF!="", ISNUMBER(MATCH(#REF!, {"zoey","sarah","cassandra","waylon"}, 0))), "",#REF!)</f>
        <v>#REF!</v>
      </c>
      <c r="S9" s="7"/>
      <c r="T9" s="105"/>
    </row>
    <row r="10" spans="1:20" ht="21.6" customHeight="1" thickBot="1" x14ac:dyDescent="0.3">
      <c r="A10" s="18" t="s">
        <v>10</v>
      </c>
      <c r="B10" s="19">
        <v>1</v>
      </c>
      <c r="C10" s="35"/>
      <c r="D10" s="95" t="str">
        <v>4-CL</v>
      </c>
      <c r="E10" s="12"/>
      <c r="F10" s="143" t="str">
        <v>7-4</v>
      </c>
      <c r="G10" s="85"/>
      <c r="H10" s="144"/>
      <c r="I10" s="12"/>
      <c r="J10" s="90"/>
      <c r="K10" s="91"/>
      <c r="L10" s="91"/>
      <c r="M10" s="92"/>
      <c r="N10" s="7"/>
      <c r="O10" s="111" t="e">
        <f xml:space="preserve"> IF(OR(#REF!="", ISNUMBER(MATCH(#REF!, {"zoey","sarah","cassandra","waylon"}, 0))), "",#REF!)</f>
        <v>#REF!</v>
      </c>
      <c r="P10" s="120" t="e">
        <f xml:space="preserve"> IF(OR(#REF!="", ISNUMBER(MATCH(#REF!, {"zoey","sarah","cassandra","waylon"}, 0))), "",#REF!)</f>
        <v>#REF!</v>
      </c>
      <c r="Q10" s="120" t="e">
        <f xml:space="preserve"> IF(OR(#REF!="", ISNUMBER(MATCH(#REF!, {"zoey","sarah","cassandra","waylon"}, 0))), "",#REF!)</f>
        <v>#REF!</v>
      </c>
      <c r="R10" s="121" t="e">
        <f xml:space="preserve"> IF(OR(#REF!="", ISNUMBER(MATCH(#REF!, {"zoey","sarah","cassandra","waylon"}, 0))), "",#REF!)</f>
        <v>#REF!</v>
      </c>
      <c r="S10" s="7"/>
      <c r="T10" s="107"/>
    </row>
    <row r="11" spans="1:20" ht="21.6" customHeight="1" x14ac:dyDescent="0.25">
      <c r="A11" s="13" t="s">
        <v>1</v>
      </c>
      <c r="B11" s="14">
        <f>IF(B10=Data!$D$4,1,B10+1)</f>
        <v>2</v>
      </c>
      <c r="C11" s="33" t="s">
        <v>3</v>
      </c>
      <c r="D11" s="93" t="str">
        <v>-</v>
      </c>
      <c r="E11" s="12"/>
      <c r="F11" s="136" t="str">
        <v>10-7</v>
      </c>
      <c r="G11" s="84"/>
      <c r="H11" s="137"/>
      <c r="I11" s="12"/>
      <c r="J11" s="101"/>
      <c r="K11" s="97"/>
      <c r="L11" s="97"/>
      <c r="M11" s="100"/>
      <c r="N11" s="7"/>
      <c r="O11" s="109" t="e">
        <f xml:space="preserve"> IF(OR(#REF!="", ISNUMBER(MATCH(#REF!, {"zoey","sarah","cassandra","waylon"}, 0))), "",#REF!)</f>
        <v>#REF!</v>
      </c>
      <c r="P11" s="117" t="e">
        <f xml:space="preserve"> IF(OR(#REF!="", ISNUMBER(MATCH(#REF!, {"zoey","sarah","cassandra","waylon"}, 0))), "",#REF!)</f>
        <v>#REF!</v>
      </c>
      <c r="Q11" s="117" t="e">
        <f xml:space="preserve"> IF(OR(#REF!="", ISNUMBER(MATCH(#REF!, {"zoey","sarah","cassandra","waylon"}, 0))), "",#REF!)</f>
        <v>#REF!</v>
      </c>
      <c r="R11" s="118" t="e">
        <f xml:space="preserve"> IF(OR(#REF!="", ISNUMBER(MATCH(#REF!, {"zoey","sarah","cassandra","waylon"}, 0))), "",#REF!)</f>
        <v>#REF!</v>
      </c>
      <c r="S11" s="7"/>
      <c r="T11" s="104"/>
    </row>
    <row r="12" spans="1:20" ht="21.6" customHeight="1" x14ac:dyDescent="0.25">
      <c r="A12" s="15" t="s">
        <v>2</v>
      </c>
      <c r="B12" s="16">
        <f>IF(B11=Data!$D$4,1,B11+1)</f>
        <v>3</v>
      </c>
      <c r="C12" s="34"/>
      <c r="D12" s="94" t="str">
        <v>-</v>
      </c>
      <c r="E12" s="12"/>
      <c r="F12" s="138" t="str">
        <v>-</v>
      </c>
      <c r="G12" s="82"/>
      <c r="H12" s="139"/>
      <c r="I12" s="12"/>
      <c r="J12" s="87"/>
      <c r="K12" s="89"/>
      <c r="L12" s="89"/>
      <c r="M12" s="88"/>
      <c r="N12" s="7"/>
      <c r="O12" s="110" t="e">
        <f xml:space="preserve"> IF(OR(#REF!="", ISNUMBER(MATCH(#REF!, {"zoey","sarah","cassandra","waylon"}, 0))), "",#REF!)</f>
        <v>#REF!</v>
      </c>
      <c r="P12" s="116" t="e">
        <f xml:space="preserve"> IF(OR(#REF!="", ISNUMBER(MATCH(#REF!, {"zoey","sarah","cassandra","waylon"}, 0))), "",#REF!)</f>
        <v>#REF!</v>
      </c>
      <c r="Q12" s="116" t="e">
        <f xml:space="preserve"> IF(OR(#REF!="", ISNUMBER(MATCH(#REF!, {"zoey","sarah","cassandra","waylon"}, 0))), "",#REF!)</f>
        <v>#REF!</v>
      </c>
      <c r="R12" s="119" t="e">
        <f xml:space="preserve"> IF(OR(#REF!="", ISNUMBER(MATCH(#REF!, {"zoey","sarah","cassandra","waylon"}, 0))), "",#REF!)</f>
        <v>#REF!</v>
      </c>
      <c r="S12" s="7"/>
      <c r="T12" s="105"/>
    </row>
    <row r="13" spans="1:20" ht="21.6" customHeight="1" x14ac:dyDescent="0.25">
      <c r="A13" s="15" t="s">
        <v>4</v>
      </c>
      <c r="B13" s="16">
        <f>IF(B12=Data!$D$4,1,B12+1)</f>
        <v>4</v>
      </c>
      <c r="C13" s="34"/>
      <c r="D13" s="94" t="str">
        <v>9-6</v>
      </c>
      <c r="E13" s="12"/>
      <c r="F13" s="140" t="str">
        <v>7-4 SCH</v>
      </c>
      <c r="G13" s="82"/>
      <c r="H13" s="139"/>
      <c r="I13" s="12"/>
      <c r="J13" s="87"/>
      <c r="K13" s="89"/>
      <c r="L13" s="89"/>
      <c r="M13" s="88"/>
      <c r="N13" s="7"/>
      <c r="O13" s="110" t="e">
        <f xml:space="preserve"> IF(OR(#REF!="", ISNUMBER(MATCH(#REF!, {"zoey","sarah","cassandra","waylon"}, 0))), "",#REF!)</f>
        <v>#REF!</v>
      </c>
      <c r="P13" s="116" t="e">
        <f xml:space="preserve"> IF(OR(#REF!="", ISNUMBER(MATCH(#REF!, {"zoey","sarah","cassandra","waylon"}, 0))), "",#REF!)</f>
        <v>#REF!</v>
      </c>
      <c r="Q13" s="116" t="e">
        <f xml:space="preserve"> IF(OR(#REF!="", ISNUMBER(MATCH(#REF!, {"zoey","sarah","cassandra","waylon"}, 0))), "",#REF!)</f>
        <v>#REF!</v>
      </c>
      <c r="R13" s="119" t="e">
        <f xml:space="preserve"> IF(OR(#REF!="", ISNUMBER(MATCH(#REF!, {"zoey","sarah","cassandra","waylon"}, 0))), "",#REF!)</f>
        <v>#REF!</v>
      </c>
      <c r="S13" s="7"/>
      <c r="T13" s="105"/>
    </row>
    <row r="14" spans="1:20" ht="21.6" customHeight="1" x14ac:dyDescent="0.25">
      <c r="A14" s="15" t="s">
        <v>5</v>
      </c>
      <c r="B14" s="16">
        <f>IF(B13=Data!$D$4,1,B13+1)</f>
        <v>5</v>
      </c>
      <c r="C14" s="34" t="s">
        <v>7</v>
      </c>
      <c r="D14" s="94" t="str">
        <v>10-7</v>
      </c>
      <c r="E14" s="12"/>
      <c r="F14" s="140" t="str">
        <v>7-4</v>
      </c>
      <c r="G14" s="83"/>
      <c r="H14" s="141"/>
      <c r="I14" s="12"/>
      <c r="J14" s="87"/>
      <c r="K14" s="89"/>
      <c r="L14" s="89"/>
      <c r="M14" s="88"/>
      <c r="N14" s="7"/>
      <c r="O14" s="110" t="e">
        <f xml:space="preserve"> IF(OR(#REF!="", ISNUMBER(MATCH(#REF!, {"zoey","sarah","cassandra","waylon"}, 0))), "",#REF!)</f>
        <v>#REF!</v>
      </c>
      <c r="P14" s="116" t="e">
        <f xml:space="preserve"> IF(OR(#REF!="", ISNUMBER(MATCH(#REF!, {"zoey","sarah","cassandra","waylon"}, 0))), "",#REF!)</f>
        <v>#REF!</v>
      </c>
      <c r="Q14" s="116" t="e">
        <f xml:space="preserve"> IF(OR(#REF!="", ISNUMBER(MATCH(#REF!, {"zoey","sarah","cassandra","waylon"}, 0))), "",#REF!)</f>
        <v>#REF!</v>
      </c>
      <c r="R14" s="119" t="e">
        <f xml:space="preserve"> IF(OR(#REF!="", ISNUMBER(MATCH(#REF!, {"zoey","sarah","cassandra","waylon"}, 0))), "",#REF!)</f>
        <v>#REF!</v>
      </c>
      <c r="S14" s="7"/>
      <c r="T14" s="105"/>
    </row>
    <row r="15" spans="1:20" ht="21.6" customHeight="1" x14ac:dyDescent="0.25">
      <c r="A15" s="15" t="s">
        <v>6</v>
      </c>
      <c r="B15" s="16">
        <f>IF(B14=Data!$D$4,1,B14+1)</f>
        <v>6</v>
      </c>
      <c r="C15" s="34" t="s">
        <v>9</v>
      </c>
      <c r="D15" s="94" t="str">
        <v>10-7</v>
      </c>
      <c r="E15" s="12"/>
      <c r="F15" s="140" t="str">
        <v>7-4</v>
      </c>
      <c r="G15" s="83"/>
      <c r="H15" s="141"/>
      <c r="I15" s="12"/>
      <c r="J15" s="87"/>
      <c r="K15" s="89"/>
      <c r="L15" s="89"/>
      <c r="M15" s="88"/>
      <c r="N15" s="7"/>
      <c r="O15" s="110" t="e">
        <f xml:space="preserve"> IF(OR(#REF!="", ISNUMBER(MATCH(#REF!, {"zoey","sarah","cassandra","waylon"}, 0))), "",#REF!)</f>
        <v>#REF!</v>
      </c>
      <c r="P15" s="116" t="e">
        <f xml:space="preserve"> IF(OR(#REF!="", ISNUMBER(MATCH(#REF!, {"zoey","sarah","cassandra","waylon"}, 0))), "",#REF!)</f>
        <v>#REF!</v>
      </c>
      <c r="Q15" s="116" t="e">
        <f xml:space="preserve"> IF(OR(#REF!="", ISNUMBER(MATCH(#REF!, {"zoey","sarah","cassandra","waylon"}, 0))), "",#REF!)</f>
        <v>#REF!</v>
      </c>
      <c r="R15" s="119" t="e">
        <f xml:space="preserve"> IF(OR(#REF!="", ISNUMBER(MATCH(#REF!, {"zoey","sarah","cassandra","waylon"}, 0))), "",#REF!)</f>
        <v>#REF!</v>
      </c>
      <c r="S15" s="7"/>
      <c r="T15" s="105"/>
    </row>
    <row r="16" spans="1:20" ht="21.6" customHeight="1" x14ac:dyDescent="0.25">
      <c r="A16" s="17" t="s">
        <v>8</v>
      </c>
      <c r="B16" s="16">
        <f>IF(B15=Data!$D$4,1,B15+1)</f>
        <v>7</v>
      </c>
      <c r="C16" s="34"/>
      <c r="D16" s="94" t="str">
        <v>8-5</v>
      </c>
      <c r="E16" s="12"/>
      <c r="F16" s="138" t="str">
        <v>7-2 R</v>
      </c>
      <c r="G16" s="83"/>
      <c r="H16" s="141"/>
      <c r="I16" s="12"/>
      <c r="J16" s="87"/>
      <c r="K16" s="89"/>
      <c r="L16" s="89"/>
      <c r="M16" s="88"/>
      <c r="N16" s="7"/>
      <c r="O16" s="110" t="e">
        <f xml:space="preserve"> IF(OR(#REF!="", ISNUMBER(MATCH(#REF!, {"zoey","sarah","cassandra","waylon"}, 0))), "",#REF!)</f>
        <v>#REF!</v>
      </c>
      <c r="P16" s="116" t="e">
        <f xml:space="preserve"> IF(OR(#REF!="", ISNUMBER(MATCH(#REF!, {"zoey","sarah","cassandra","waylon"}, 0))), "",#REF!)</f>
        <v>#REF!</v>
      </c>
      <c r="Q16" s="116" t="e">
        <f xml:space="preserve"> IF(OR(#REF!="", ISNUMBER(MATCH(#REF!, {"zoey","sarah","cassandra","waylon"}, 0))), "",#REF!)</f>
        <v>#REF!</v>
      </c>
      <c r="R16" s="119" t="e">
        <f xml:space="preserve"> IF(OR(#REF!="", ISNUMBER(MATCH(#REF!, {"zoey","sarah","cassandra","waylon"}, 0))), "",#REF!)</f>
        <v>#REF!</v>
      </c>
      <c r="S16" s="7"/>
      <c r="T16" s="105"/>
    </row>
    <row r="17" spans="1:20" ht="21.6" customHeight="1" thickBot="1" x14ac:dyDescent="0.3">
      <c r="A17" s="18" t="s">
        <v>10</v>
      </c>
      <c r="B17" s="19">
        <f>IF(B16=Data!$D$4,1,B16+1)</f>
        <v>8</v>
      </c>
      <c r="C17" s="35"/>
      <c r="D17" s="96" t="str">
        <v>8-5</v>
      </c>
      <c r="E17" s="12"/>
      <c r="F17" s="143" t="str">
        <v>OFF</v>
      </c>
      <c r="G17" s="85"/>
      <c r="H17" s="144"/>
      <c r="I17" s="12"/>
      <c r="J17" s="90"/>
      <c r="K17" s="91"/>
      <c r="L17" s="91"/>
      <c r="M17" s="92"/>
      <c r="N17" s="7"/>
      <c r="O17" s="111" t="e">
        <f xml:space="preserve"> IF(OR(#REF!="", ISNUMBER(MATCH(#REF!, {"zoey","sarah","cassandra","waylon"}, 0))), "",#REF!)</f>
        <v>#REF!</v>
      </c>
      <c r="P17" s="120" t="e">
        <f xml:space="preserve"> IF(OR(#REF!="", ISNUMBER(MATCH(#REF!, {"zoey","sarah","cassandra","waylon"}, 0))), "",#REF!)</f>
        <v>#REF!</v>
      </c>
      <c r="Q17" s="120" t="e">
        <f xml:space="preserve"> IF(OR(#REF!="", ISNUMBER(MATCH(#REF!, {"zoey","sarah","cassandra","waylon"}, 0))), "",#REF!)</f>
        <v>#REF!</v>
      </c>
      <c r="R17" s="121" t="e">
        <f xml:space="preserve"> IF(OR(#REF!="", ISNUMBER(MATCH(#REF!, {"zoey","sarah","cassandra","waylon"}, 0))), "",#REF!)</f>
        <v>#REF!</v>
      </c>
      <c r="S17" s="7"/>
      <c r="T17" s="107"/>
    </row>
    <row r="18" spans="1:20" ht="21.6" customHeight="1" x14ac:dyDescent="0.25">
      <c r="A18" s="13" t="s">
        <v>1</v>
      </c>
      <c r="B18" s="14">
        <f>IF(B17=Data!$D$4,1,B17+1)</f>
        <v>9</v>
      </c>
      <c r="C18" s="33" t="s">
        <v>3</v>
      </c>
      <c r="D18" s="93" t="str">
        <v>10-7 Admin</v>
      </c>
      <c r="E18" s="12"/>
      <c r="F18" s="136" t="str">
        <v>7-4</v>
      </c>
      <c r="G18" s="84"/>
      <c r="H18" s="137"/>
      <c r="I18" s="12"/>
      <c r="J18" s="101"/>
      <c r="K18" s="97"/>
      <c r="L18" s="97"/>
      <c r="M18" s="100"/>
      <c r="N18" s="7"/>
      <c r="O18" s="109" t="e">
        <f xml:space="preserve"> IF(OR(#REF!="", ISNUMBER(MATCH(#REF!, {"zoey","sarah","cassandra","waylon"}, 0))), "",#REF!)</f>
        <v>#REF!</v>
      </c>
      <c r="P18" s="117" t="e">
        <f xml:space="preserve"> IF(OR(#REF!="", ISNUMBER(MATCH(#REF!, {"zoey","sarah","cassandra","waylon"}, 0))), "",#REF!)</f>
        <v>#REF!</v>
      </c>
      <c r="Q18" s="117" t="e">
        <f xml:space="preserve"> IF(OR(#REF!="", ISNUMBER(MATCH(#REF!, {"zoey","sarah","cassandra","waylon"}, 0))), "",#REF!)</f>
        <v>#REF!</v>
      </c>
      <c r="R18" s="118" t="e">
        <f xml:space="preserve"> IF(OR(#REF!="", ISNUMBER(MATCH(#REF!, {"zoey","sarah","cassandra","waylon"}, 0))), "",#REF!)</f>
        <v>#REF!</v>
      </c>
      <c r="S18" s="7"/>
      <c r="T18" s="104"/>
    </row>
    <row r="19" spans="1:20" ht="21.6" customHeight="1" x14ac:dyDescent="0.25">
      <c r="A19" s="15" t="s">
        <v>2</v>
      </c>
      <c r="B19" s="16">
        <f>IF(B18=Data!$D$4,1,B18+1)</f>
        <v>10</v>
      </c>
      <c r="C19" s="34"/>
      <c r="D19" s="94" t="str">
        <v>-</v>
      </c>
      <c r="E19" s="12"/>
      <c r="F19" s="138" t="str">
        <v>7-4 SCH</v>
      </c>
      <c r="G19" s="82"/>
      <c r="H19" s="139"/>
      <c r="I19" s="12"/>
      <c r="J19" s="87"/>
      <c r="K19" s="89"/>
      <c r="L19" s="89"/>
      <c r="M19" s="88"/>
      <c r="N19" s="7"/>
      <c r="O19" s="110" t="e">
        <f xml:space="preserve"> IF(OR(#REF!="", ISNUMBER(MATCH(#REF!, {"zoey","sarah","cassandra","waylon"}, 0))), "",#REF!)</f>
        <v>#REF!</v>
      </c>
      <c r="P19" s="116" t="e">
        <f xml:space="preserve"> IF(OR(#REF!="", ISNUMBER(MATCH(#REF!, {"zoey","sarah","cassandra","waylon"}, 0))), "",#REF!)</f>
        <v>#REF!</v>
      </c>
      <c r="Q19" s="116" t="e">
        <f xml:space="preserve"> IF(OR(#REF!="", ISNUMBER(MATCH(#REF!, {"zoey","sarah","cassandra","waylon"}, 0))), "",#REF!)</f>
        <v>#REF!</v>
      </c>
      <c r="R19" s="119" t="e">
        <f xml:space="preserve"> IF(OR(#REF!="", ISNUMBER(MATCH(#REF!, {"zoey","sarah","cassandra","waylon"}, 0))), "",#REF!)</f>
        <v>#REF!</v>
      </c>
      <c r="S19" s="7"/>
      <c r="T19" s="105"/>
    </row>
    <row r="20" spans="1:20" ht="21.6" customHeight="1" x14ac:dyDescent="0.25">
      <c r="A20" s="15" t="s">
        <v>4</v>
      </c>
      <c r="B20" s="16">
        <f>IF(B19=Data!$D$4,1,B19+1)</f>
        <v>11</v>
      </c>
      <c r="C20" s="34"/>
      <c r="D20" s="94" t="str">
        <v>-</v>
      </c>
      <c r="E20" s="12"/>
      <c r="F20" s="140" t="str">
        <v>10-7</v>
      </c>
      <c r="G20" s="83"/>
      <c r="H20" s="139"/>
      <c r="I20" s="12"/>
      <c r="J20" s="87"/>
      <c r="K20" s="89"/>
      <c r="L20" s="89"/>
      <c r="M20" s="88"/>
      <c r="N20" s="7"/>
      <c r="O20" s="110" t="e">
        <f xml:space="preserve"> IF(OR(#REF!="", ISNUMBER(MATCH(#REF!, {"zoey","sarah","cassandra","waylon"}, 0))), "",#REF!)</f>
        <v>#REF!</v>
      </c>
      <c r="P20" s="116" t="e">
        <f xml:space="preserve"> IF(OR(#REF!="", ISNUMBER(MATCH(#REF!, {"zoey","sarah","cassandra","waylon"}, 0))), "",#REF!)</f>
        <v>#REF!</v>
      </c>
      <c r="Q20" s="116" t="e">
        <f xml:space="preserve"> IF(OR(#REF!="", ISNUMBER(MATCH(#REF!, {"zoey","sarah","cassandra","waylon"}, 0))), "",#REF!)</f>
        <v>#REF!</v>
      </c>
      <c r="R20" s="119" t="e">
        <f xml:space="preserve"> IF(OR(#REF!="", ISNUMBER(MATCH(#REF!, {"zoey","sarah","cassandra","waylon"}, 0))), "",#REF!)</f>
        <v>#REF!</v>
      </c>
      <c r="S20" s="7"/>
      <c r="T20" s="105"/>
    </row>
    <row r="21" spans="1:20" ht="21.6" customHeight="1" x14ac:dyDescent="0.25">
      <c r="A21" s="15" t="s">
        <v>5</v>
      </c>
      <c r="B21" s="16">
        <f>IF(B20=Data!$D$4,1,B20+1)</f>
        <v>12</v>
      </c>
      <c r="C21" s="34" t="s">
        <v>7</v>
      </c>
      <c r="D21" s="94" t="str">
        <v>10-7</v>
      </c>
      <c r="E21" s="12"/>
      <c r="F21" s="140" t="str">
        <v>7-4</v>
      </c>
      <c r="G21" s="83"/>
      <c r="H21" s="139"/>
      <c r="I21" s="12"/>
      <c r="J21" s="87"/>
      <c r="K21" s="89"/>
      <c r="L21" s="89"/>
      <c r="M21" s="88"/>
      <c r="N21" s="7"/>
      <c r="O21" s="110" t="e">
        <f xml:space="preserve"> IF(OR(#REF!="", ISNUMBER(MATCH(#REF!, {"zoey","sarah","cassandra","waylon"}, 0))), "",#REF!)</f>
        <v>#REF!</v>
      </c>
      <c r="P21" s="116" t="e">
        <f xml:space="preserve"> IF(OR(#REF!="", ISNUMBER(MATCH(#REF!, {"zoey","sarah","cassandra","waylon"}, 0))), "",#REF!)</f>
        <v>#REF!</v>
      </c>
      <c r="Q21" s="116" t="e">
        <f xml:space="preserve"> IF(OR(#REF!="", ISNUMBER(MATCH(#REF!, {"zoey","sarah","cassandra","waylon"}, 0))), "",#REF!)</f>
        <v>#REF!</v>
      </c>
      <c r="R21" s="119" t="e">
        <f xml:space="preserve"> IF(OR(#REF!="", ISNUMBER(MATCH(#REF!, {"zoey","sarah","cassandra","waylon"}, 0))), "",#REF!)</f>
        <v>#REF!</v>
      </c>
      <c r="S21" s="7"/>
      <c r="T21" s="105"/>
    </row>
    <row r="22" spans="1:20" ht="21.6" customHeight="1" x14ac:dyDescent="0.25">
      <c r="A22" s="15" t="s">
        <v>6</v>
      </c>
      <c r="B22" s="16">
        <f>IF(B21=Data!$D$4,1,B21+1)</f>
        <v>13</v>
      </c>
      <c r="C22" s="34" t="s">
        <v>9</v>
      </c>
      <c r="D22" s="94" t="str">
        <v>10-7</v>
      </c>
      <c r="E22" s="12"/>
      <c r="F22" s="138" t="str">
        <v>OFF</v>
      </c>
      <c r="G22" s="83"/>
      <c r="H22" s="139"/>
      <c r="I22" s="12"/>
      <c r="J22" s="87"/>
      <c r="K22" s="89"/>
      <c r="L22" s="89"/>
      <c r="M22" s="88"/>
      <c r="N22" s="7"/>
      <c r="O22" s="110" t="e">
        <f xml:space="preserve"> IF(OR(#REF!="", ISNUMBER(MATCH(#REF!, {"zoey","sarah","cassandra","waylon"}, 0))), "",#REF!)</f>
        <v>#REF!</v>
      </c>
      <c r="P22" s="116" t="e">
        <f xml:space="preserve"> IF(OR(#REF!="", ISNUMBER(MATCH(#REF!, {"zoey","sarah","cassandra","waylon"}, 0))), "",#REF!)</f>
        <v>#REF!</v>
      </c>
      <c r="Q22" s="116" t="e">
        <f xml:space="preserve"> IF(OR(#REF!="", ISNUMBER(MATCH(#REF!, {"zoey","sarah","cassandra","waylon"}, 0))), "",#REF!)</f>
        <v>#REF!</v>
      </c>
      <c r="R22" s="119" t="e">
        <f xml:space="preserve"> IF(OR(#REF!="", ISNUMBER(MATCH(#REF!, {"zoey","sarah","cassandra","waylon"}, 0))), "",#REF!)</f>
        <v>#REF!</v>
      </c>
      <c r="S22" s="7"/>
      <c r="T22" s="105"/>
    </row>
    <row r="23" spans="1:20" ht="21.6" customHeight="1" x14ac:dyDescent="0.25">
      <c r="A23" s="17" t="s">
        <v>8</v>
      </c>
      <c r="B23" s="16">
        <f>IF(B22=Data!$D$4,1,B22+1)</f>
        <v>14</v>
      </c>
      <c r="C23" s="34"/>
      <c r="D23" s="94" t="str">
        <v>8-5</v>
      </c>
      <c r="E23" s="12"/>
      <c r="F23" s="138" t="str">
        <v>OFF</v>
      </c>
      <c r="G23" s="83"/>
      <c r="H23" s="139"/>
      <c r="I23" s="12"/>
      <c r="J23" s="87"/>
      <c r="K23" s="89"/>
      <c r="L23" s="89"/>
      <c r="M23" s="88"/>
      <c r="N23" s="7"/>
      <c r="O23" s="110" t="e">
        <f xml:space="preserve"> IF(OR(#REF!="", ISNUMBER(MATCH(#REF!, {"zoey","sarah","cassandra","waylon"}, 0))), "",#REF!)</f>
        <v>#REF!</v>
      </c>
      <c r="P23" s="116" t="e">
        <f xml:space="preserve"> IF(OR(#REF!="", ISNUMBER(MATCH(#REF!, {"zoey","sarah","cassandra","waylon"}, 0))), "",#REF!)</f>
        <v>#REF!</v>
      </c>
      <c r="Q23" s="116" t="e">
        <f xml:space="preserve"> IF(OR(#REF!="", ISNUMBER(MATCH(#REF!, {"zoey","sarah","cassandra","waylon"}, 0))), "",#REF!)</f>
        <v>#REF!</v>
      </c>
      <c r="R23" s="119" t="e">
        <f xml:space="preserve"> IF(OR(#REF!="", ISNUMBER(MATCH(#REF!, {"zoey","sarah","cassandra","waylon"}, 0))), "",#REF!)</f>
        <v>#REF!</v>
      </c>
      <c r="S23" s="7"/>
      <c r="T23" s="105"/>
    </row>
    <row r="24" spans="1:20" ht="21.6" customHeight="1" thickBot="1" x14ac:dyDescent="0.3">
      <c r="A24" s="18" t="s">
        <v>10</v>
      </c>
      <c r="B24" s="19">
        <f>IF(B23=Data!$D$4,1,B23+1)</f>
        <v>15</v>
      </c>
      <c r="C24" s="35"/>
      <c r="D24" s="96" t="str">
        <v>PTO</v>
      </c>
      <c r="E24" s="12"/>
      <c r="F24" s="143" t="str">
        <v>7-4</v>
      </c>
      <c r="G24" s="85"/>
      <c r="H24" s="144"/>
      <c r="I24" s="12"/>
      <c r="J24" s="90"/>
      <c r="K24" s="91"/>
      <c r="L24" s="91"/>
      <c r="M24" s="92"/>
      <c r="N24" s="7"/>
      <c r="O24" s="111" t="e">
        <f xml:space="preserve"> IF(OR(#REF!="", ISNUMBER(MATCH(#REF!, {"zoey","sarah","cassandra","waylon"}, 0))), "",#REF!)</f>
        <v>#REF!</v>
      </c>
      <c r="P24" s="120" t="e">
        <f xml:space="preserve"> IF(OR(#REF!="", ISNUMBER(MATCH(#REF!, {"zoey","sarah","cassandra","waylon"}, 0))), "",#REF!)</f>
        <v>#REF!</v>
      </c>
      <c r="Q24" s="120" t="e">
        <f xml:space="preserve"> IF(OR(#REF!="", ISNUMBER(MATCH(#REF!, {"zoey","sarah","cassandra","waylon"}, 0))), "",#REF!)</f>
        <v>#REF!</v>
      </c>
      <c r="R24" s="121" t="e">
        <f xml:space="preserve"> IF(OR(#REF!="", ISNUMBER(MATCH(#REF!, {"zoey","sarah","cassandra","waylon"}, 0))), "",#REF!)</f>
        <v>#REF!</v>
      </c>
      <c r="S24" s="7"/>
      <c r="T24" s="107"/>
    </row>
    <row r="25" spans="1:20" ht="21.6" customHeight="1" x14ac:dyDescent="0.25">
      <c r="A25" s="13" t="s">
        <v>1</v>
      </c>
      <c r="B25" s="14">
        <f>IF(B24=Data!$D$4,1,B24+1)</f>
        <v>16</v>
      </c>
      <c r="C25" s="33" t="s">
        <v>3</v>
      </c>
      <c r="D25" s="93" t="str">
        <v>11-6</v>
      </c>
      <c r="E25" s="12"/>
      <c r="F25" s="136" t="str">
        <v>Op-11 R</v>
      </c>
      <c r="G25" s="145"/>
      <c r="H25" s="146"/>
      <c r="I25" s="12"/>
      <c r="J25" s="101"/>
      <c r="K25" s="97"/>
      <c r="L25" s="97"/>
      <c r="M25" s="100"/>
      <c r="N25" s="7"/>
      <c r="O25" s="109" t="e">
        <f xml:space="preserve"> IF(OR(#REF!="", ISNUMBER(MATCH(#REF!, {"zoey","sarah","cassandra","waylon"}, 0))), "",#REF!)</f>
        <v>#REF!</v>
      </c>
      <c r="P25" s="117" t="e">
        <f xml:space="preserve"> IF(OR(#REF!="", ISNUMBER(MATCH(#REF!, {"zoey","sarah","cassandra","waylon"}, 0))), "",#REF!)</f>
        <v>#REF!</v>
      </c>
      <c r="Q25" s="117" t="e">
        <f xml:space="preserve"> IF(OR(#REF!="", ISNUMBER(MATCH(#REF!, {"zoey","sarah","cassandra","waylon"}, 0))), "",#REF!)</f>
        <v>#REF!</v>
      </c>
      <c r="R25" s="118" t="e">
        <f xml:space="preserve"> IF(OR(#REF!="", ISNUMBER(MATCH(#REF!, {"zoey","sarah","cassandra","waylon"}, 0))), "",#REF!)</f>
        <v>#REF!</v>
      </c>
      <c r="S25" s="7"/>
      <c r="T25" s="104"/>
    </row>
    <row r="26" spans="1:20" ht="21.6" customHeight="1" x14ac:dyDescent="0.25">
      <c r="A26" s="15" t="s">
        <v>2</v>
      </c>
      <c r="B26" s="16">
        <f>IF(B25=Data!$D$4,1,B25+1)</f>
        <v>17</v>
      </c>
      <c r="C26" s="34"/>
      <c r="D26" s="94" t="str">
        <v>10-7 Admin</v>
      </c>
      <c r="E26" s="12"/>
      <c r="F26" s="138" t="str">
        <v>Op-1</v>
      </c>
      <c r="G26" s="82"/>
      <c r="H26" s="139"/>
      <c r="I26" s="12"/>
      <c r="J26" s="87"/>
      <c r="K26" s="89"/>
      <c r="L26" s="89"/>
      <c r="M26" s="103"/>
      <c r="N26" s="7"/>
      <c r="O26" s="110" t="e">
        <f xml:space="preserve"> IF(OR(#REF!="", ISNUMBER(MATCH(#REF!, {"zoey","sarah","cassandra","waylon"}, 0))), "",#REF!)</f>
        <v>#REF!</v>
      </c>
      <c r="P26" s="116" t="e">
        <f xml:space="preserve"> IF(OR(#REF!="", ISNUMBER(MATCH(#REF!, {"zoey","sarah","cassandra","waylon"}, 0))), "",#REF!)</f>
        <v>#REF!</v>
      </c>
      <c r="Q26" s="116" t="e">
        <f xml:space="preserve"> IF(OR(#REF!="", ISNUMBER(MATCH(#REF!, {"zoey","sarah","cassandra","waylon"}, 0))), "",#REF!)</f>
        <v>#REF!</v>
      </c>
      <c r="R26" s="119" t="e">
        <f xml:space="preserve"> IF(OR(#REF!="", ISNUMBER(MATCH(#REF!, {"zoey","sarah","cassandra","waylon"}, 0))), "",#REF!)</f>
        <v>#REF!</v>
      </c>
      <c r="S26" s="7"/>
      <c r="T26" s="105"/>
    </row>
    <row r="27" spans="1:20" ht="21.6" customHeight="1" x14ac:dyDescent="0.25">
      <c r="A27" s="15" t="s">
        <v>4</v>
      </c>
      <c r="B27" s="16">
        <f>IF(B26=Data!$D$4,1,B26+1)</f>
        <v>18</v>
      </c>
      <c r="C27" s="34"/>
      <c r="D27" s="94" t="str">
        <v>10-7</v>
      </c>
      <c r="E27" s="12"/>
      <c r="F27" s="140" t="str">
        <v>-</v>
      </c>
      <c r="G27" s="83"/>
      <c r="H27" s="139"/>
      <c r="I27" s="12"/>
      <c r="J27" s="87"/>
      <c r="K27" s="89"/>
      <c r="L27" s="89"/>
      <c r="M27" s="88"/>
      <c r="N27" s="7"/>
      <c r="O27" s="110" t="e">
        <f xml:space="preserve"> IF(OR(#REF!="", ISNUMBER(MATCH(#REF!, {"zoey","sarah","cassandra","waylon"}, 0))), "",#REF!)</f>
        <v>#REF!</v>
      </c>
      <c r="P27" s="116" t="e">
        <f xml:space="preserve"> IF(OR(#REF!="", ISNUMBER(MATCH(#REF!, {"zoey","sarah","cassandra","waylon"}, 0))), "",#REF!)</f>
        <v>#REF!</v>
      </c>
      <c r="Q27" s="116" t="e">
        <f xml:space="preserve"> IF(OR(#REF!="", ISNUMBER(MATCH(#REF!, {"zoey","sarah","cassandra","waylon"}, 0))), "",#REF!)</f>
        <v>#REF!</v>
      </c>
      <c r="R27" s="119" t="e">
        <f xml:space="preserve"> IF(OR(#REF!="", ISNUMBER(MATCH(#REF!, {"zoey","sarah","cassandra","waylon"}, 0))), "",#REF!)</f>
        <v>#REF!</v>
      </c>
      <c r="S27" s="7"/>
      <c r="T27" s="105"/>
    </row>
    <row r="28" spans="1:20" ht="21.6" customHeight="1" x14ac:dyDescent="0.25">
      <c r="A28" s="15" t="s">
        <v>5</v>
      </c>
      <c r="B28" s="16">
        <f>IF(B27=Data!$D$4,1,B27+1)</f>
        <v>19</v>
      </c>
      <c r="C28" s="34" t="s">
        <v>7</v>
      </c>
      <c r="D28" s="94" t="str">
        <v>8-CL DMB</v>
      </c>
      <c r="E28" s="12"/>
      <c r="F28" s="140" t="str">
        <v>7-4 SCH</v>
      </c>
      <c r="G28" s="82"/>
      <c r="H28" s="139"/>
      <c r="I28" s="12"/>
      <c r="J28" s="87"/>
      <c r="K28" s="89"/>
      <c r="L28" s="89"/>
      <c r="M28" s="88"/>
      <c r="N28" s="7"/>
      <c r="O28" s="110" t="e">
        <f xml:space="preserve"> IF(OR(#REF!="", ISNUMBER(MATCH(#REF!, {"zoey","sarah","cassandra","waylon"}, 0))), "",#REF!)</f>
        <v>#REF!</v>
      </c>
      <c r="P28" s="116" t="e">
        <f xml:space="preserve"> IF(OR(#REF!="", ISNUMBER(MATCH(#REF!, {"zoey","sarah","cassandra","waylon"}, 0))), "",#REF!)</f>
        <v>#REF!</v>
      </c>
      <c r="Q28" s="116" t="e">
        <f xml:space="preserve"> IF(OR(#REF!="", ISNUMBER(MATCH(#REF!, {"zoey","sarah","cassandra","waylon"}, 0))), "",#REF!)</f>
        <v>#REF!</v>
      </c>
      <c r="R28" s="119" t="e">
        <f xml:space="preserve"> IF(OR(#REF!="", ISNUMBER(MATCH(#REF!, {"zoey","sarah","cassandra","waylon"}, 0))), "",#REF!)</f>
        <v>#REF!</v>
      </c>
      <c r="S28" s="7"/>
      <c r="T28" s="105"/>
    </row>
    <row r="29" spans="1:20" ht="21.6" customHeight="1" x14ac:dyDescent="0.25">
      <c r="A29" s="15" t="s">
        <v>6</v>
      </c>
      <c r="B29" s="16">
        <f>IF(B28=Data!$D$4,1,B28+1)</f>
        <v>20</v>
      </c>
      <c r="C29" s="34" t="s">
        <v>9</v>
      </c>
      <c r="D29" s="94" t="str">
        <v>-</v>
      </c>
      <c r="E29" s="12"/>
      <c r="F29" s="138" t="str">
        <v>-</v>
      </c>
      <c r="G29" s="83"/>
      <c r="H29" s="141"/>
      <c r="I29" s="12"/>
      <c r="J29" s="87"/>
      <c r="K29" s="89"/>
      <c r="L29" s="89"/>
      <c r="M29" s="88"/>
      <c r="N29" s="7"/>
      <c r="O29" s="110" t="e">
        <f xml:space="preserve"> IF(OR(#REF!="", ISNUMBER(MATCH(#REF!, {"zoey","sarah","cassandra","waylon"}, 0))), "",#REF!)</f>
        <v>#REF!</v>
      </c>
      <c r="P29" s="116" t="e">
        <f xml:space="preserve"> IF(OR(#REF!="", ISNUMBER(MATCH(#REF!, {"zoey","sarah","cassandra","waylon"}, 0))), "",#REF!)</f>
        <v>#REF!</v>
      </c>
      <c r="Q29" s="116" t="e">
        <f xml:space="preserve"> IF(OR(#REF!="", ISNUMBER(MATCH(#REF!, {"zoey","sarah","cassandra","waylon"}, 0))), "",#REF!)</f>
        <v>#REF!</v>
      </c>
      <c r="R29" s="119" t="e">
        <f xml:space="preserve"> IF(OR(#REF!="", ISNUMBER(MATCH(#REF!, {"zoey","sarah","cassandra","waylon"}, 0))), "",#REF!)</f>
        <v>#REF!</v>
      </c>
      <c r="S29" s="7"/>
      <c r="T29" s="105"/>
    </row>
    <row r="30" spans="1:20" ht="21.6" customHeight="1" x14ac:dyDescent="0.25">
      <c r="A30" s="17" t="s">
        <v>8</v>
      </c>
      <c r="B30" s="16">
        <f>IF(B29=Data!$D$4,1,B29+1)</f>
        <v>21</v>
      </c>
      <c r="C30" s="34"/>
      <c r="D30" s="94" t="str">
        <v>-</v>
      </c>
      <c r="E30" s="12"/>
      <c r="F30" s="138" t="str">
        <v>8-5</v>
      </c>
      <c r="G30" s="83"/>
      <c r="H30" s="139"/>
      <c r="I30" s="12"/>
      <c r="J30" s="87"/>
      <c r="K30" s="89"/>
      <c r="L30" s="89"/>
      <c r="M30" s="88"/>
      <c r="N30" s="7"/>
      <c r="O30" s="110" t="e">
        <f xml:space="preserve"> IF(OR(#REF!="", ISNUMBER(MATCH(#REF!, {"zoey","sarah","cassandra","waylon"}, 0))), "",#REF!)</f>
        <v>#REF!</v>
      </c>
      <c r="P30" s="116" t="e">
        <f xml:space="preserve"> IF(OR(#REF!="", ISNUMBER(MATCH(#REF!, {"zoey","sarah","cassandra","waylon"}, 0))), "",#REF!)</f>
        <v>#REF!</v>
      </c>
      <c r="Q30" s="116" t="e">
        <f xml:space="preserve"> IF(OR(#REF!="", ISNUMBER(MATCH(#REF!, {"zoey","sarah","cassandra","waylon"}, 0))), "",#REF!)</f>
        <v>#REF!</v>
      </c>
      <c r="R30" s="119" t="e">
        <f xml:space="preserve"> IF(OR(#REF!="", ISNUMBER(MATCH(#REF!, {"zoey","sarah","cassandra","waylon"}, 0))), "",#REF!)</f>
        <v>#REF!</v>
      </c>
      <c r="S30" s="7"/>
      <c r="T30" s="105"/>
    </row>
    <row r="31" spans="1:20" ht="21.6" customHeight="1" thickBot="1" x14ac:dyDescent="0.3">
      <c r="A31" s="18" t="s">
        <v>10</v>
      </c>
      <c r="B31" s="19">
        <f>IF(B30=Data!$D$4,1,B30+1)</f>
        <v>22</v>
      </c>
      <c r="C31" s="35"/>
      <c r="D31" s="96" t="str">
        <v>10-7</v>
      </c>
      <c r="E31" s="12"/>
      <c r="F31" s="143" t="str">
        <v>Op-1</v>
      </c>
      <c r="G31" s="85"/>
      <c r="H31" s="144"/>
      <c r="I31" s="12"/>
      <c r="J31" s="90"/>
      <c r="K31" s="91"/>
      <c r="L31" s="91"/>
      <c r="M31" s="92"/>
      <c r="N31" s="7"/>
      <c r="O31" s="111" t="e">
        <f xml:space="preserve"> IF(OR(#REF!="", ISNUMBER(MATCH(#REF!, {"zoey","sarah","cassandra","waylon"}, 0))), "",#REF!)</f>
        <v>#REF!</v>
      </c>
      <c r="P31" s="120" t="e">
        <f xml:space="preserve"> IF(OR(#REF!="", ISNUMBER(MATCH(#REF!, {"zoey","sarah","cassandra","waylon"}, 0))), "",#REF!)</f>
        <v>#REF!</v>
      </c>
      <c r="Q31" s="120" t="e">
        <f xml:space="preserve"> IF(OR(#REF!="", ISNUMBER(MATCH(#REF!, {"zoey","sarah","cassandra","waylon"}, 0))), "",#REF!)</f>
        <v>#REF!</v>
      </c>
      <c r="R31" s="121" t="e">
        <f xml:space="preserve"> IF(OR(#REF!="", ISNUMBER(MATCH(#REF!, {"zoey","sarah","cassandra","waylon"}, 0))), "",#REF!)</f>
        <v>#REF!</v>
      </c>
      <c r="S31" s="7"/>
      <c r="T31" s="107"/>
    </row>
    <row r="32" spans="1:20" ht="21.6" customHeight="1" x14ac:dyDescent="0.25">
      <c r="A32" s="13" t="s">
        <v>1</v>
      </c>
      <c r="B32" s="14">
        <f>IF(B31=Data!$D$4,1,B31+1)</f>
        <v>23</v>
      </c>
      <c r="C32" s="33" t="s">
        <v>3</v>
      </c>
      <c r="D32" s="93" t="str">
        <v>10-7 Admin</v>
      </c>
      <c r="E32" s="12"/>
      <c r="F32" s="136" t="str">
        <v>Op-1</v>
      </c>
      <c r="G32" s="86"/>
      <c r="H32" s="137"/>
      <c r="I32" s="12"/>
      <c r="J32" s="99"/>
      <c r="K32" s="97"/>
      <c r="L32" s="97"/>
      <c r="M32" s="100"/>
      <c r="N32" s="52"/>
      <c r="O32" s="109" t="e">
        <f xml:space="preserve"> IF(OR(#REF!="", ISNUMBER(MATCH(#REF!, {"zoey","sarah","cassandra","waylon"}, 0))), "",#REF!)</f>
        <v>#REF!</v>
      </c>
      <c r="P32" s="117" t="e">
        <f xml:space="preserve"> IF(OR(#REF!="", ISNUMBER(MATCH(#REF!, {"zoey","sarah","cassandra","waylon"}, 0))), "",#REF!)</f>
        <v>#REF!</v>
      </c>
      <c r="Q32" s="117" t="e">
        <f xml:space="preserve"> IF(OR(#REF!="", ISNUMBER(MATCH(#REF!, {"zoey","sarah","cassandra","waylon"}, 0))), "",#REF!)</f>
        <v>#REF!</v>
      </c>
      <c r="R32" s="118" t="e">
        <f xml:space="preserve"> IF(OR(#REF!="", ISNUMBER(MATCH(#REF!, {"zoey","sarah","cassandra","waylon"}, 0))), "",#REF!)</f>
        <v>#REF!</v>
      </c>
      <c r="S32" s="7"/>
      <c r="T32" s="104"/>
    </row>
    <row r="33" spans="1:20" ht="21.6" customHeight="1" x14ac:dyDescent="0.25">
      <c r="A33" s="15" t="s">
        <v>2</v>
      </c>
      <c r="B33" s="16">
        <f>IF(B32=Data!$D$4,1,B32+1)</f>
        <v>24</v>
      </c>
      <c r="C33" s="34"/>
      <c r="D33" s="94" t="str">
        <v>-</v>
      </c>
      <c r="E33" s="12"/>
      <c r="F33" s="138" t="str">
        <v>7-4 SCH</v>
      </c>
      <c r="G33" s="82"/>
      <c r="H33" s="139"/>
      <c r="I33" s="12"/>
      <c r="J33" s="87"/>
      <c r="K33" s="89"/>
      <c r="L33" s="89"/>
      <c r="M33" s="88"/>
      <c r="N33" s="52"/>
      <c r="O33" s="110" t="e">
        <f xml:space="preserve"> IF(OR(#REF!="", ISNUMBER(MATCH(#REF!, {"zoey","sarah","cassandra","waylon"}, 0))), "",#REF!)</f>
        <v>#REF!</v>
      </c>
      <c r="P33" s="116" t="e">
        <f xml:space="preserve"> IF(OR(#REF!="", ISNUMBER(MATCH(#REF!, {"zoey","sarah","cassandra","waylon"}, 0))), "",#REF!)</f>
        <v>#REF!</v>
      </c>
      <c r="Q33" s="116" t="e">
        <f xml:space="preserve"> IF(OR(#REF!="", ISNUMBER(MATCH(#REF!, {"zoey","sarah","cassandra","waylon"}, 0))), "",#REF!)</f>
        <v>#REF!</v>
      </c>
      <c r="R33" s="119" t="e">
        <f xml:space="preserve"> IF(OR(#REF!="", ISNUMBER(MATCH(#REF!, {"zoey","sarah","cassandra","waylon"}, 0))), "",#REF!)</f>
        <v>#REF!</v>
      </c>
      <c r="S33" s="7"/>
      <c r="T33" s="105"/>
    </row>
    <row r="34" spans="1:20" ht="21.6" customHeight="1" x14ac:dyDescent="0.25">
      <c r="A34" s="15" t="s">
        <v>4</v>
      </c>
      <c r="B34" s="16">
        <f>IF(B33=Data!$D$4,1,B33+1)</f>
        <v>25</v>
      </c>
      <c r="C34" s="34"/>
      <c r="D34" s="94" t="str">
        <v>-</v>
      </c>
      <c r="E34" s="12"/>
      <c r="F34" s="138" t="str">
        <v>11-8</v>
      </c>
      <c r="G34" s="82"/>
      <c r="H34" s="139"/>
      <c r="I34" s="12"/>
      <c r="J34" s="87"/>
      <c r="K34" s="89"/>
      <c r="L34" s="89"/>
      <c r="M34" s="88"/>
      <c r="N34" s="52"/>
      <c r="O34" s="110" t="e">
        <f xml:space="preserve"> IF(OR(#REF!="", ISNUMBER(MATCH(#REF!, {"zoey","sarah","cassandra","waylon"}, 0))), "",#REF!)</f>
        <v>#REF!</v>
      </c>
      <c r="P34" s="116" t="e">
        <f xml:space="preserve"> IF(OR(#REF!="", ISNUMBER(MATCH(#REF!, {"zoey","sarah","cassandra","waylon"}, 0))), "",#REF!)</f>
        <v>#REF!</v>
      </c>
      <c r="Q34" s="116" t="e">
        <f xml:space="preserve"> IF(OR(#REF!="", ISNUMBER(MATCH(#REF!, {"zoey","sarah","cassandra","waylon"}, 0))), "",#REF!)</f>
        <v>#REF!</v>
      </c>
      <c r="R34" s="119" t="e">
        <f xml:space="preserve"> IF(OR(#REF!="", ISNUMBER(MATCH(#REF!, {"zoey","sarah","cassandra","waylon"}, 0))), "",#REF!)</f>
        <v>#REF!</v>
      </c>
      <c r="S34" s="7"/>
      <c r="T34" s="105"/>
    </row>
    <row r="35" spans="1:20" ht="21.6" customHeight="1" x14ac:dyDescent="0.25">
      <c r="A35" s="15" t="s">
        <v>5</v>
      </c>
      <c r="B35" s="16">
        <f>IF(B34=Data!$D$4,1,B34+1)</f>
        <v>26</v>
      </c>
      <c r="C35" s="34" t="s">
        <v>7</v>
      </c>
      <c r="D35" s="94" t="str">
        <v>8-5</v>
      </c>
      <c r="E35" s="12"/>
      <c r="F35" s="140" t="str">
        <v>-</v>
      </c>
      <c r="G35" s="83"/>
      <c r="H35" s="139"/>
      <c r="I35" s="12"/>
      <c r="J35" s="87"/>
      <c r="K35" s="89"/>
      <c r="L35" s="89"/>
      <c r="M35" s="88"/>
      <c r="N35" s="52"/>
      <c r="O35" s="110" t="e">
        <f xml:space="preserve"> IF(OR(#REF!="", ISNUMBER(MATCH(#REF!, {"zoey","sarah","cassandra","waylon"}, 0))), "",#REF!)</f>
        <v>#REF!</v>
      </c>
      <c r="P35" s="116" t="e">
        <f xml:space="preserve"> IF(OR(#REF!="", ISNUMBER(MATCH(#REF!, {"zoey","sarah","cassandra","waylon"}, 0))), "",#REF!)</f>
        <v>#REF!</v>
      </c>
      <c r="Q35" s="116" t="e">
        <f xml:space="preserve"> IF(OR(#REF!="", ISNUMBER(MATCH(#REF!, {"zoey","sarah","cassandra","waylon"}, 0))), "",#REF!)</f>
        <v>#REF!</v>
      </c>
      <c r="R35" s="119" t="e">
        <f xml:space="preserve"> IF(OR(#REF!="", ISNUMBER(MATCH(#REF!, {"zoey","sarah","cassandra","waylon"}, 0))), "",#REF!)</f>
        <v>#REF!</v>
      </c>
      <c r="S35" s="7"/>
      <c r="T35" s="105"/>
    </row>
    <row r="36" spans="1:20" ht="21.6" customHeight="1" x14ac:dyDescent="0.25">
      <c r="A36" s="15" t="s">
        <v>6</v>
      </c>
      <c r="B36" s="16">
        <f>IF(B35=Data!$D$4,1,B35+1)</f>
        <v>27</v>
      </c>
      <c r="C36" s="34" t="s">
        <v>9</v>
      </c>
      <c r="D36" s="94" t="str">
        <v>10-7</v>
      </c>
      <c r="E36" s="12"/>
      <c r="F36" s="138" t="str">
        <v>7-4</v>
      </c>
      <c r="G36" s="83"/>
      <c r="H36" s="139"/>
      <c r="I36" s="12"/>
      <c r="J36" s="87"/>
      <c r="K36" s="89"/>
      <c r="L36" s="89"/>
      <c r="M36" s="88"/>
      <c r="N36" s="52"/>
      <c r="O36" s="110" t="e">
        <f xml:space="preserve"> IF(OR(#REF!="", ISNUMBER(MATCH(#REF!, {"zoey","sarah","cassandra","waylon"}, 0))), "",#REF!)</f>
        <v>#REF!</v>
      </c>
      <c r="P36" s="116" t="e">
        <f xml:space="preserve"> IF(OR(#REF!="", ISNUMBER(MATCH(#REF!, {"zoey","sarah","cassandra","waylon"}, 0))), "",#REF!)</f>
        <v>#REF!</v>
      </c>
      <c r="Q36" s="116" t="e">
        <f xml:space="preserve"> IF(OR(#REF!="", ISNUMBER(MATCH(#REF!, {"zoey","sarah","cassandra","waylon"}, 0))), "",#REF!)</f>
        <v>#REF!</v>
      </c>
      <c r="R36" s="119" t="e">
        <f xml:space="preserve"> IF(OR(#REF!="", ISNUMBER(MATCH(#REF!, {"zoey","sarah","cassandra","waylon"}, 0))), "",#REF!)</f>
        <v>#REF!</v>
      </c>
      <c r="S36" s="7"/>
      <c r="T36" s="105"/>
    </row>
    <row r="37" spans="1:20" ht="21.6" customHeight="1" x14ac:dyDescent="0.25">
      <c r="A37" s="17" t="s">
        <v>8</v>
      </c>
      <c r="B37" s="16">
        <f>IF(B36=Data!$D$4,1,B36+1)</f>
        <v>28</v>
      </c>
      <c r="C37" s="34"/>
      <c r="D37" s="94" t="str">
        <v>11-8</v>
      </c>
      <c r="E37" s="12"/>
      <c r="F37" s="138" t="str">
        <v>4-CL</v>
      </c>
      <c r="G37" s="83"/>
      <c r="H37" s="139"/>
      <c r="I37" s="12"/>
      <c r="J37" s="87"/>
      <c r="K37" s="89"/>
      <c r="L37" s="89"/>
      <c r="M37" s="88"/>
      <c r="N37" s="52"/>
      <c r="O37" s="110" t="e">
        <f xml:space="preserve"> IF(OR(#REF!="", ISNUMBER(MATCH(#REF!, {"zoey","sarah","cassandra","waylon"}, 0))), "",#REF!)</f>
        <v>#REF!</v>
      </c>
      <c r="P37" s="116" t="e">
        <f xml:space="preserve"> IF(OR(#REF!="", ISNUMBER(MATCH(#REF!, {"zoey","sarah","cassandra","waylon"}, 0))), "",#REF!)</f>
        <v>#REF!</v>
      </c>
      <c r="Q37" s="116" t="e">
        <f xml:space="preserve"> IF(OR(#REF!="", ISNUMBER(MATCH(#REF!, {"zoey","sarah","cassandra","waylon"}, 0))), "",#REF!)</f>
        <v>#REF!</v>
      </c>
      <c r="R37" s="119" t="e">
        <f xml:space="preserve"> IF(OR(#REF!="", ISNUMBER(MATCH(#REF!, {"zoey","sarah","cassandra","waylon"}, 0))), "",#REF!)</f>
        <v>#REF!</v>
      </c>
      <c r="S37" s="7"/>
      <c r="T37" s="105"/>
    </row>
    <row r="38" spans="1:20" ht="21.6" customHeight="1" thickBot="1" x14ac:dyDescent="0.3">
      <c r="A38" s="18" t="s">
        <v>10</v>
      </c>
      <c r="B38" s="19">
        <f>IF(B37=Data!$D$4,1,B37+1)</f>
        <v>29</v>
      </c>
      <c r="C38" s="35"/>
      <c r="D38" s="95" t="str">
        <v>10-7</v>
      </c>
      <c r="E38" s="12"/>
      <c r="F38" s="143" t="str">
        <v>-</v>
      </c>
      <c r="G38" s="85"/>
      <c r="H38" s="144"/>
      <c r="I38" s="12"/>
      <c r="J38" s="90"/>
      <c r="K38" s="91"/>
      <c r="L38" s="91"/>
      <c r="M38" s="92"/>
      <c r="N38" s="52"/>
      <c r="O38" s="111" t="e">
        <f xml:space="preserve"> IF(OR(#REF!="", ISNUMBER(MATCH(#REF!, {"zoey","sarah","cassandra","waylon"}, 0))), "",#REF!)</f>
        <v>#REF!</v>
      </c>
      <c r="P38" s="120" t="e">
        <f xml:space="preserve"> IF(OR(#REF!="", ISNUMBER(MATCH(#REF!, {"zoey","sarah","cassandra","waylon"}, 0))), "",#REF!)</f>
        <v>#REF!</v>
      </c>
      <c r="Q38" s="120" t="e">
        <f xml:space="preserve"> IF(OR(#REF!="", ISNUMBER(MATCH(#REF!, {"zoey","sarah","cassandra","waylon"}, 0))), "",#REF!)</f>
        <v>#REF!</v>
      </c>
      <c r="R38" s="121" t="e">
        <f xml:space="preserve"> IF(OR(#REF!="", ISNUMBER(MATCH(#REF!, {"zoey","sarah","cassandra","waylon"}, 0))), "",#REF!)</f>
        <v>#REF!</v>
      </c>
      <c r="S38" s="7"/>
      <c r="T38" s="108"/>
    </row>
    <row r="39" spans="1:20" s="8" customFormat="1" ht="9" customHeight="1" thickBot="1" x14ac:dyDescent="0.25">
      <c r="B39" s="10"/>
      <c r="D39" s="51">
        <f t="shared" ref="D39:L39" si="0">COUNTBLANK(D11:D38)</f>
        <v>0</v>
      </c>
      <c r="E39" s="51"/>
      <c r="F39" s="51"/>
      <c r="G39" s="51"/>
      <c r="H39" s="51"/>
      <c r="I39" s="51"/>
      <c r="J39" s="51">
        <f t="shared" si="0"/>
        <v>28</v>
      </c>
      <c r="K39" s="51">
        <f t="shared" si="0"/>
        <v>28</v>
      </c>
      <c r="L39" s="51">
        <f t="shared" si="0"/>
        <v>28</v>
      </c>
      <c r="M39" s="51">
        <f>COUNTBLANK(M11:M38)</f>
        <v>28</v>
      </c>
      <c r="N39" s="51"/>
      <c r="O39" s="51">
        <f>COUNTBLANK(O11:O38)</f>
        <v>0</v>
      </c>
      <c r="P39" s="51">
        <f>COUNTBLANK(P11:P38)</f>
        <v>0</v>
      </c>
      <c r="Q39" s="51">
        <f>COUNTBLANK(Q11:Q38)</f>
        <v>0</v>
      </c>
      <c r="R39" s="51">
        <f>COUNTBLANK(R11:R38)</f>
        <v>0</v>
      </c>
    </row>
    <row r="40" spans="1:20" s="8" customFormat="1" ht="19.899999999999999" customHeight="1" thickBot="1" x14ac:dyDescent="0.3">
      <c r="D40" s="28" t="s">
        <v>29</v>
      </c>
      <c r="E40" s="21"/>
      <c r="F40" s="21"/>
      <c r="G40" s="21"/>
      <c r="H40" s="21"/>
      <c r="I40" s="21"/>
      <c r="J40" s="63" t="str">
        <f>J3</f>
        <v>Dani</v>
      </c>
      <c r="K40" s="64" t="str">
        <f>K3</f>
        <v>Savanna</v>
      </c>
      <c r="L40" s="64" t="str">
        <f>L3</f>
        <v>James</v>
      </c>
      <c r="M40" s="65" t="str">
        <f>M3</f>
        <v>Bella</v>
      </c>
      <c r="O40" s="5" t="s">
        <v>52</v>
      </c>
      <c r="P40" s="5"/>
      <c r="Q40" s="5"/>
      <c r="R40" s="5"/>
      <c r="S40" s="5"/>
      <c r="T40" s="5"/>
    </row>
    <row r="41" spans="1:20" ht="22.9" customHeight="1" thickBot="1" x14ac:dyDescent="0.25">
      <c r="A41" s="195" t="s">
        <v>13</v>
      </c>
      <c r="B41" s="196"/>
      <c r="C41" s="196"/>
      <c r="D41" s="29" cm="1">
        <f t="array" ref="D41">COUNTIF(Open,D$40)</f>
        <v>0</v>
      </c>
      <c r="E41" s="22"/>
      <c r="F41" s="22"/>
      <c r="G41" s="22"/>
      <c r="H41" s="22"/>
      <c r="I41" s="22"/>
      <c r="J41" s="42" cm="1">
        <f t="array" ref="J41">COUNTIF(Open,J$40)</f>
        <v>0</v>
      </c>
      <c r="K41" s="43" cm="1">
        <f t="array" ref="K41">COUNTIF(Open,K$40)</f>
        <v>0</v>
      </c>
      <c r="L41" s="43" cm="1">
        <f t="array" ref="L41">COUNTIF(Open,L$40)</f>
        <v>0</v>
      </c>
      <c r="M41" s="44" cm="1">
        <f t="array" ref="M41">COUNTIF(Open,M$40)</f>
        <v>0</v>
      </c>
      <c r="T41" s="9"/>
    </row>
    <row r="42" spans="1:20" ht="23.25" customHeight="1" thickBot="1" x14ac:dyDescent="0.25">
      <c r="A42" s="197" t="s">
        <v>12</v>
      </c>
      <c r="B42" s="198"/>
      <c r="C42" s="199"/>
      <c r="D42" s="30" cm="1">
        <f t="array" ref="D42">COUNTIF(Lunch, D$40)</f>
        <v>0</v>
      </c>
      <c r="E42" s="22"/>
      <c r="F42" s="22"/>
      <c r="G42" s="22"/>
      <c r="H42" s="22"/>
      <c r="I42" s="22"/>
      <c r="J42" s="45" cm="1">
        <f t="array" ref="J42">COUNTIF(Lunch, J$40)</f>
        <v>0</v>
      </c>
      <c r="K42" s="46" cm="1">
        <f t="array" ref="K42">COUNTIF(Lunch, K$40)</f>
        <v>0</v>
      </c>
      <c r="L42" s="46" cm="1">
        <f t="array" ref="L42">COUNTIF(Lunch, L$40)</f>
        <v>0</v>
      </c>
      <c r="M42" s="47" cm="1">
        <f t="array" ref="M42">COUNTIF(Lunch, M$40)</f>
        <v>0</v>
      </c>
      <c r="T42" s="9"/>
    </row>
    <row r="43" spans="1:20" ht="22.9" customHeight="1" thickBot="1" x14ac:dyDescent="0.25">
      <c r="A43" s="200" t="s">
        <v>21</v>
      </c>
      <c r="B43" s="201"/>
      <c r="C43" s="202"/>
      <c r="D43" s="30">
        <f t="shared" ref="D43:M43" si="1">COUNTIF(Dinner,D$40)</f>
        <v>0</v>
      </c>
      <c r="E43" s="22"/>
      <c r="F43" s="22"/>
      <c r="G43" s="22"/>
      <c r="H43" s="22"/>
      <c r="I43" s="22"/>
      <c r="J43" s="45">
        <f t="shared" si="1"/>
        <v>0</v>
      </c>
      <c r="K43" s="46">
        <f t="shared" si="1"/>
        <v>0</v>
      </c>
      <c r="L43" s="46">
        <f t="shared" si="1"/>
        <v>0</v>
      </c>
      <c r="M43" s="47">
        <f t="shared" si="1"/>
        <v>0</v>
      </c>
      <c r="T43" s="9"/>
    </row>
    <row r="44" spans="1:20" ht="22.9" customHeight="1" thickBot="1" x14ac:dyDescent="0.25">
      <c r="A44" s="203" t="s">
        <v>14</v>
      </c>
      <c r="B44" s="204"/>
      <c r="C44" s="204"/>
      <c r="D44" s="31" cm="1">
        <f t="array" ref="D44">COUNTIF(Close, D$40)</f>
        <v>0</v>
      </c>
      <c r="E44" s="22"/>
      <c r="F44" s="22"/>
      <c r="G44" s="22"/>
      <c r="H44" s="22"/>
      <c r="I44" s="22"/>
      <c r="J44" s="48" cm="1">
        <f t="array" ref="J44">COUNTIF(Close, J$40)</f>
        <v>0</v>
      </c>
      <c r="K44" s="49" cm="1">
        <f t="array" ref="K44">COUNTIF(Close, K$40)</f>
        <v>0</v>
      </c>
      <c r="L44" s="49" cm="1">
        <f t="array" ref="L44">COUNTIF(Close, L$40)</f>
        <v>0</v>
      </c>
      <c r="M44" s="50" cm="1">
        <f t="array" ref="M44">COUNTIF(Close, M$40)</f>
        <v>0</v>
      </c>
      <c r="T44" s="9"/>
    </row>
    <row r="45" spans="1:20" ht="15.75" customHeight="1" thickBot="1" x14ac:dyDescent="0.25">
      <c r="A45" s="186" t="s">
        <v>37</v>
      </c>
      <c r="B45" s="187"/>
      <c r="C45" s="187"/>
      <c r="D45" s="32">
        <f t="shared" ref="D45:J45" si="2">SUM(D41:D44)</f>
        <v>0</v>
      </c>
      <c r="E45" s="22"/>
      <c r="F45" s="22"/>
      <c r="G45" s="22"/>
      <c r="H45" s="22"/>
      <c r="I45" s="22"/>
      <c r="J45" s="39">
        <f t="shared" si="2"/>
        <v>0</v>
      </c>
      <c r="K45" s="40">
        <f>SUM(K41:K44)</f>
        <v>0</v>
      </c>
      <c r="L45" s="40">
        <f>SUM(L41:L44)</f>
        <v>0</v>
      </c>
      <c r="M45" s="41">
        <f>SUM(M41:M44)</f>
        <v>0</v>
      </c>
      <c r="T45" s="9"/>
    </row>
    <row r="47" spans="1:20" s="8" customFormat="1" ht="15.75" customHeight="1" x14ac:dyDescent="0.2">
      <c r="E47" s="27"/>
      <c r="F47" s="27"/>
      <c r="G47" s="27"/>
      <c r="H47" s="27"/>
      <c r="I47" s="27"/>
      <c r="O47" s="5"/>
      <c r="P47" s="5"/>
      <c r="Q47" s="5"/>
      <c r="R47" s="5"/>
    </row>
    <row r="48" spans="1:20" s="8" customFormat="1" ht="15.75" customHeight="1" x14ac:dyDescent="0.2">
      <c r="O48" s="5"/>
      <c r="P48" s="5"/>
      <c r="Q48" s="5"/>
      <c r="R48" s="5"/>
    </row>
    <row r="49" spans="15:18" s="8" customFormat="1" ht="15.75" customHeight="1" x14ac:dyDescent="0.2">
      <c r="O49" s="5"/>
      <c r="P49" s="5"/>
      <c r="Q49" s="5"/>
      <c r="R49" s="5"/>
    </row>
    <row r="50" spans="15:18" s="8" customFormat="1" ht="15.75" customHeight="1" x14ac:dyDescent="0.2">
      <c r="O50" s="5"/>
      <c r="P50" s="5"/>
      <c r="Q50" s="5"/>
      <c r="R50" s="5"/>
    </row>
    <row r="51" spans="15:18" s="8" customFormat="1" ht="15.75" customHeight="1" x14ac:dyDescent="0.2">
      <c r="O51" s="5"/>
      <c r="P51" s="5"/>
      <c r="Q51" s="5"/>
      <c r="R51" s="5"/>
    </row>
    <row r="52" spans="15:18" s="8" customFormat="1" ht="15.75" customHeight="1" x14ac:dyDescent="0.2">
      <c r="O52" s="5"/>
      <c r="P52" s="5"/>
      <c r="Q52" s="5"/>
      <c r="R52" s="5"/>
    </row>
  </sheetData>
  <sheetProtection sheet="1" objects="1" scenarios="1"/>
  <mergeCells count="10">
    <mergeCell ref="A44:C44"/>
    <mergeCell ref="A45:C45"/>
    <mergeCell ref="D1:M1"/>
    <mergeCell ref="F2:H2"/>
    <mergeCell ref="J2:M2"/>
    <mergeCell ref="O2:R2"/>
    <mergeCell ref="A3:C3"/>
    <mergeCell ref="A41:C41"/>
    <mergeCell ref="A42:C42"/>
    <mergeCell ref="A43:C43"/>
  </mergeCells>
  <conditionalFormatting sqref="D4:M38">
    <cfRule type="cellIs" dxfId="8" priority="1" operator="equal">
      <formula>"PTO"</formula>
    </cfRule>
    <cfRule type="cellIs" dxfId="7" priority="2" operator="equal">
      <formula>"OFF"</formula>
    </cfRule>
    <cfRule type="expression" dxfId="6" priority="306">
      <formula>$O4=D$3</formula>
    </cfRule>
    <cfRule type="expression" dxfId="5" priority="307">
      <formula>$P4=D$3</formula>
    </cfRule>
    <cfRule type="expression" dxfId="4" priority="308">
      <formula>$Q4=D$3</formula>
    </cfRule>
    <cfRule type="expression" dxfId="3" priority="309">
      <formula>$R4=D$3</formula>
    </cfRule>
  </conditionalFormatting>
  <conditionalFormatting sqref="D41:M45">
    <cfRule type="cellIs" dxfId="2" priority="8" operator="equal">
      <formula>0</formula>
    </cfRule>
    <cfRule type="cellIs" dxfId="1" priority="9" operator="greaterThan">
      <formula>0</formula>
    </cfRule>
  </conditionalFormatting>
  <conditionalFormatting sqref="D39:R39">
    <cfRule type="cellIs" dxfId="0" priority="7" operator="greaterThan">
      <formula>0</formula>
    </cfRule>
  </conditionalFormatting>
  <pageMargins left="0.25" right="0.25" top="0.25" bottom="0.25" header="0.3" footer="0.3"/>
  <pageSetup scale="59" orientation="landscape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9"/>
  <sheetViews>
    <sheetView workbookViewId="0"/>
  </sheetViews>
  <sheetFormatPr defaultRowHeight="12.75" x14ac:dyDescent="0.2"/>
  <cols>
    <col min="1" max="1" width="17.140625" customWidth="1"/>
    <col min="6" max="6" width="22.140625" customWidth="1"/>
  </cols>
  <sheetData>
    <row r="1" spans="1:6" x14ac:dyDescent="0.2">
      <c r="A1" s="8" t="s">
        <v>41</v>
      </c>
      <c r="C1" s="8" t="s">
        <v>46</v>
      </c>
      <c r="D1">
        <f>MONTH('Manager Schedule'!A3)</f>
        <v>1</v>
      </c>
      <c r="F1" s="8" t="s">
        <v>48</v>
      </c>
    </row>
    <row r="2" spans="1:6" x14ac:dyDescent="0.2">
      <c r="A2" s="8" t="s">
        <v>38</v>
      </c>
      <c r="C2" s="8" t="s">
        <v>47</v>
      </c>
      <c r="D2" s="38">
        <f>'Manager Schedule'!B2</f>
        <v>2025</v>
      </c>
      <c r="F2" s="8" t="s">
        <v>38</v>
      </c>
    </row>
    <row r="3" spans="1:6" x14ac:dyDescent="0.2">
      <c r="A3" s="8" t="s">
        <v>39</v>
      </c>
      <c r="F3" s="8" t="s">
        <v>25</v>
      </c>
    </row>
    <row r="4" spans="1:6" ht="13.5" customHeight="1" x14ac:dyDescent="0.2">
      <c r="A4" s="8" t="s">
        <v>25</v>
      </c>
      <c r="C4" s="37">
        <f>DATE(D2,D1,1)</f>
        <v>45658</v>
      </c>
      <c r="D4">
        <f>DAY(EOMONTH(C4,0))-DAY(C4)+1</f>
        <v>31</v>
      </c>
      <c r="F4" s="8" t="s">
        <v>23</v>
      </c>
    </row>
    <row r="5" spans="1:6" x14ac:dyDescent="0.2">
      <c r="A5" s="8" t="s">
        <v>40</v>
      </c>
      <c r="F5" s="8" t="s">
        <v>39</v>
      </c>
    </row>
    <row r="6" spans="1:6" x14ac:dyDescent="0.2">
      <c r="A6" s="8" t="s">
        <v>42</v>
      </c>
      <c r="F6" s="8" t="s">
        <v>40</v>
      </c>
    </row>
    <row r="7" spans="1:6" x14ac:dyDescent="0.2">
      <c r="A7" s="8" t="s">
        <v>9</v>
      </c>
    </row>
    <row r="8" spans="1:6" x14ac:dyDescent="0.2">
      <c r="A8" s="8" t="s">
        <v>43</v>
      </c>
    </row>
    <row r="9" spans="1:6" x14ac:dyDescent="0.2">
      <c r="A9" s="8" t="s">
        <v>44</v>
      </c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0E612F2199FC94FAE5BB6C3A84295F8" ma:contentTypeVersion="5" ma:contentTypeDescription="Create a new document." ma:contentTypeScope="" ma:versionID="aed91c88cfb4101f6faf53cbaf728f1c">
  <xsd:schema xmlns:xsd="http://www.w3.org/2001/XMLSchema" xmlns:xs="http://www.w3.org/2001/XMLSchema" xmlns:p="http://schemas.microsoft.com/office/2006/metadata/properties" xmlns:ns3="e49e769e-182a-43ea-8e77-b61f62a4e9d9" xmlns:ns4="70183f6b-c397-4e3a-84da-9b4e10fbc2dc" targetNamespace="http://schemas.microsoft.com/office/2006/metadata/properties" ma:root="true" ma:fieldsID="12b40d02bc5ef8c6be0ec865ce8d1b54" ns3:_="" ns4:_="">
    <xsd:import namespace="e49e769e-182a-43ea-8e77-b61f62a4e9d9"/>
    <xsd:import namespace="70183f6b-c397-4e3a-84da-9b4e10fbc2d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9e769e-182a-43ea-8e77-b61f62a4e9d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183f6b-c397-4e3a-84da-9b4e10fbc2d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6A057F2-2204-4F65-B443-FE271FF1989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9e769e-182a-43ea-8e77-b61f62a4e9d9"/>
    <ds:schemaRef ds:uri="70183f6b-c397-4e3a-84da-9b4e10fbc2d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6EBF0C4-2E9C-4E58-A08A-07825CD6B5B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9AAAE67-D77C-4A7C-A1A9-7C74B4737CF9}">
  <ds:schemaRefs>
    <ds:schemaRef ds:uri="http://purl.org/dc/terms/"/>
    <ds:schemaRef ds:uri="http://schemas.openxmlformats.org/package/2006/metadata/core-properties"/>
    <ds:schemaRef ds:uri="70183f6b-c397-4e3a-84da-9b4e10fbc2dc"/>
    <ds:schemaRef ds:uri="http://purl.org/dc/dcmitype/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schemas.microsoft.com/office/infopath/2007/PartnerControls"/>
    <ds:schemaRef ds:uri="e49e769e-182a-43ea-8e77-b61f62a4e9d9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20</vt:i4>
      </vt:variant>
    </vt:vector>
  </HeadingPairs>
  <TitlesOfParts>
    <vt:vector size="24" baseType="lpstr">
      <vt:lpstr>Manager Schedule</vt:lpstr>
      <vt:lpstr>DM's</vt:lpstr>
      <vt:lpstr>MIT's</vt:lpstr>
      <vt:lpstr>Data</vt:lpstr>
      <vt:lpstr>'DM''s'!Brooke</vt:lpstr>
      <vt:lpstr>'DM''s'!Close</vt:lpstr>
      <vt:lpstr>'MIT''s'!Close</vt:lpstr>
      <vt:lpstr>'DM''s'!Dinner</vt:lpstr>
      <vt:lpstr>'MIT''s'!Dinner</vt:lpstr>
      <vt:lpstr>'DM''s'!Jason</vt:lpstr>
      <vt:lpstr>'MIT''s'!Jason</vt:lpstr>
      <vt:lpstr>Jason</vt:lpstr>
      <vt:lpstr>'DM''s'!Lori</vt:lpstr>
      <vt:lpstr>Lori</vt:lpstr>
      <vt:lpstr>'DM''s'!Lunch</vt:lpstr>
      <vt:lpstr>'MIT''s'!Lunch</vt:lpstr>
      <vt:lpstr>'DM''s'!Open</vt:lpstr>
      <vt:lpstr>'MIT''s'!Open</vt:lpstr>
      <vt:lpstr>'DM''s'!Print_Area</vt:lpstr>
      <vt:lpstr>'Manager Schedule'!Print_Area</vt:lpstr>
      <vt:lpstr>'MIT''s'!Print_Area</vt:lpstr>
      <vt:lpstr>'DM''s'!Susie</vt:lpstr>
      <vt:lpstr>Susie</vt:lpstr>
      <vt:lpstr>Zoey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Courtney Beck</dc:creator>
  <cp:lastModifiedBy>Jason Sjogren</cp:lastModifiedBy>
  <cp:lastPrinted>2025-11-16T05:50:37Z</cp:lastPrinted>
  <dcterms:created xsi:type="dcterms:W3CDTF">2022-07-15T19:36:08Z</dcterms:created>
  <dcterms:modified xsi:type="dcterms:W3CDTF">2026-01-18T03:28:57Z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0x01010000E612F2199FC94FAE5BB6C3A84295F8</vt:lpwstr>
  </property>
</Properties>
</file>